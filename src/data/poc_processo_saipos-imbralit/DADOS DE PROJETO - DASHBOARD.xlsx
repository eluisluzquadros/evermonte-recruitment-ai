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</sheets>
  <definedNames>
    <definedName hidden="1" localSheetId="0" name="_xlnm._FilterDatabase">Dashboard!$A$1:$AB$1000</definedName>
  </definedNames>
  <calcPr/>
</workbook>
</file>

<file path=xl/sharedStrings.xml><?xml version="1.0" encoding="utf-8"?>
<sst xmlns="http://schemas.openxmlformats.org/spreadsheetml/2006/main" count="6317" uniqueCount="1490">
  <si>
    <t>ID do candidato</t>
  </si>
  <si>
    <t>Candidato</t>
  </si>
  <si>
    <t>Organização Atual</t>
  </si>
  <si>
    <t>Hiring Stage</t>
  </si>
  <si>
    <t>Salário Atual</t>
  </si>
  <si>
    <t>Expectativa Salarial</t>
  </si>
  <si>
    <t>Género</t>
  </si>
  <si>
    <t>Cidade</t>
  </si>
  <si>
    <t>Título / Posição</t>
  </si>
  <si>
    <t>Cargo</t>
  </si>
  <si>
    <t>Especialidade</t>
  </si>
  <si>
    <t>Modelo de Contrato</t>
  </si>
  <si>
    <t>Modelo de trabalho</t>
  </si>
  <si>
    <t>Remuneração variável (anual) / ICP</t>
  </si>
  <si>
    <t>Segmento</t>
  </si>
  <si>
    <t>Stock Options / ILP</t>
  </si>
  <si>
    <t>English Proficiency</t>
  </si>
  <si>
    <t>Disposto a mudar de residência</t>
  </si>
  <si>
    <t>Rejection Reason</t>
  </si>
  <si>
    <t>Primeiro Nome</t>
  </si>
  <si>
    <t>Conversão</t>
  </si>
  <si>
    <t>Bônus anual (salários)</t>
  </si>
  <si>
    <t>Remuneração anual</t>
  </si>
  <si>
    <t>Faixa atual /ano</t>
  </si>
  <si>
    <t>Pretensão anual</t>
  </si>
  <si>
    <t>Faixa pretensão /ano</t>
  </si>
  <si>
    <t>Milton Massa</t>
  </si>
  <si>
    <t>Gerente Geral Comercial</t>
  </si>
  <si>
    <t>Rejected</t>
  </si>
  <si>
    <t>Masculino</t>
  </si>
  <si>
    <t>ALFREDO CHAVES</t>
  </si>
  <si>
    <t>Diretor</t>
  </si>
  <si>
    <t>PJ</t>
  </si>
  <si>
    <t>Presencial</t>
  </si>
  <si>
    <t>Materiais de Construção</t>
  </si>
  <si>
    <t>Sim</t>
  </si>
  <si>
    <t>Avançado</t>
  </si>
  <si>
    <t>Sem mobilidade</t>
  </si>
  <si>
    <t>Milton</t>
  </si>
  <si>
    <t>Emiedson Faria</t>
  </si>
  <si>
    <t>TANGARA S/A</t>
  </si>
  <si>
    <t>Alphaville, Lagoa dos Ingleses, Nova Lima</t>
  </si>
  <si>
    <t>Diretor comercial e marketing</t>
  </si>
  <si>
    <t>Estatutário</t>
  </si>
  <si>
    <t>Bens de Consumo</t>
  </si>
  <si>
    <t>Emiedson</t>
  </si>
  <si>
    <t>Johnny Bassani</t>
  </si>
  <si>
    <t>Colson Group</t>
  </si>
  <si>
    <t>Araucária</t>
  </si>
  <si>
    <t>Diretor de operações e negócios</t>
  </si>
  <si>
    <t>VP / Diretor Executivo</t>
  </si>
  <si>
    <t>CLT</t>
  </si>
  <si>
    <t>Híbrido</t>
  </si>
  <si>
    <t>Não</t>
  </si>
  <si>
    <t>Intermediário</t>
  </si>
  <si>
    <t>Johnny</t>
  </si>
  <si>
    <t>Leandro Gouvea</t>
  </si>
  <si>
    <t>Acgt Química</t>
  </si>
  <si>
    <t>Balneário Camboriú</t>
  </si>
  <si>
    <t>Gerente de projetos internacionais</t>
  </si>
  <si>
    <t>Gerente</t>
  </si>
  <si>
    <t>Outros</t>
  </si>
  <si>
    <t>Consultoria / Auditoria</t>
  </si>
  <si>
    <t>Não qualificado</t>
  </si>
  <si>
    <t>Leandro</t>
  </si>
  <si>
    <t>Arthur Tenório</t>
  </si>
  <si>
    <t>Klok Tech</t>
  </si>
  <si>
    <t>Customer service &amp; success manager</t>
  </si>
  <si>
    <t>B2B</t>
  </si>
  <si>
    <t>Remoto</t>
  </si>
  <si>
    <t>Tecnologia / Serviços de TI</t>
  </si>
  <si>
    <t>Arthur</t>
  </si>
  <si>
    <t>R$600.000 - R$700.000</t>
  </si>
  <si>
    <t>Viviane Calliari</t>
  </si>
  <si>
    <t>Consultoria para área Construção Civil</t>
  </si>
  <si>
    <t>Feminino</t>
  </si>
  <si>
    <t>Gestora</t>
  </si>
  <si>
    <t>Gerente Sênior</t>
  </si>
  <si>
    <t>Construção / Incorporação</t>
  </si>
  <si>
    <t>Viviane</t>
  </si>
  <si>
    <t>Edival Santos</t>
  </si>
  <si>
    <t>Edival M. Santos Serviços Adm. LTDA</t>
  </si>
  <si>
    <t>Barcelona, São Caetano do Sul</t>
  </si>
  <si>
    <t>Consultor proprietário</t>
  </si>
  <si>
    <t>Edival</t>
  </si>
  <si>
    <t>Cristian Moller</t>
  </si>
  <si>
    <t>ONDULINE DO BRASIL</t>
  </si>
  <si>
    <t>Barra Velha</t>
  </si>
  <si>
    <t>Gerente regional vendas</t>
  </si>
  <si>
    <t>Cristian</t>
  </si>
  <si>
    <t>Nathália Mastrocollo</t>
  </si>
  <si>
    <t>Grupo Pasquini</t>
  </si>
  <si>
    <t>Barreiros, São José</t>
  </si>
  <si>
    <t>Gerente de produto</t>
  </si>
  <si>
    <t>Têxtil / Calçado</t>
  </si>
  <si>
    <t>Nathália</t>
  </si>
  <si>
    <t>EDUARDO GOMES</t>
  </si>
  <si>
    <t>HERO</t>
  </si>
  <si>
    <t>Barueri</t>
  </si>
  <si>
    <t>Diretor comercial</t>
  </si>
  <si>
    <t>EDUARDO</t>
  </si>
  <si>
    <t>Daniel Ricardo de Araujo Braga</t>
  </si>
  <si>
    <t>Locabens</t>
  </si>
  <si>
    <t>Gerente comercial nacional</t>
  </si>
  <si>
    <t>Bens de Capital / Maquinário</t>
  </si>
  <si>
    <t>Daniel</t>
  </si>
  <si>
    <t>ADHEMAR SALGADO JUNIOR</t>
  </si>
  <si>
    <t>Zitria Consulting</t>
  </si>
  <si>
    <t>Bauru</t>
  </si>
  <si>
    <t>Sócio diretor</t>
  </si>
  <si>
    <t>ADHEMAR</t>
  </si>
  <si>
    <t>Marcia Coimbra</t>
  </si>
  <si>
    <t>GAV RESORTS LTDA</t>
  </si>
  <si>
    <t>Belém</t>
  </si>
  <si>
    <t>Supervisora</t>
  </si>
  <si>
    <t>Marcia</t>
  </si>
  <si>
    <t>Giselle Bastos Salman</t>
  </si>
  <si>
    <t>Kim Veiculos</t>
  </si>
  <si>
    <t>Gerente geral</t>
  </si>
  <si>
    <t>Automotivo</t>
  </si>
  <si>
    <t>Giselle</t>
  </si>
  <si>
    <t>Sanzio Pereira Soares</t>
  </si>
  <si>
    <t>INB</t>
  </si>
  <si>
    <t>Belo Horizonte</t>
  </si>
  <si>
    <t>Superintendente de novos negócios</t>
  </si>
  <si>
    <t>Sanzio</t>
  </si>
  <si>
    <t>Joaquim Paes</t>
  </si>
  <si>
    <t>Meu ultimo empregador foi Epiroc, no momento estou disponivel para novos desafios e mudanças</t>
  </si>
  <si>
    <t>Gerente nacional comercial</t>
  </si>
  <si>
    <t>Joaquim</t>
  </si>
  <si>
    <t>Ronaldo Malesza</t>
  </si>
  <si>
    <t>Intral Iluminação</t>
  </si>
  <si>
    <t>Shortlist</t>
  </si>
  <si>
    <t>Campo Bom</t>
  </si>
  <si>
    <t>Diretor comercial e de marketing</t>
  </si>
  <si>
    <t>Químico / Petroquímico</t>
  </si>
  <si>
    <t>Ronaldo</t>
  </si>
  <si>
    <t>Rogério Mendes</t>
  </si>
  <si>
    <t>SESI MG</t>
  </si>
  <si>
    <t>Superintendente comercial</t>
  </si>
  <si>
    <t>Educação / Treinamento</t>
  </si>
  <si>
    <t>Rogério</t>
  </si>
  <si>
    <t>MARTIM Ibrahim</t>
  </si>
  <si>
    <t>DVG Precon</t>
  </si>
  <si>
    <t>Diretor executivo</t>
  </si>
  <si>
    <t>MARTIM</t>
  </si>
  <si>
    <t>Ana Paula Ferreira Vasco</t>
  </si>
  <si>
    <t>CORROPREV Comercio de Anticorrosivos e Lubrificantes</t>
  </si>
  <si>
    <t>Ceo</t>
  </si>
  <si>
    <t>Ana</t>
  </si>
  <si>
    <t>R$700.000 - R$800.000</t>
  </si>
  <si>
    <t>Eduardo Rodrigues De Paula Júnior</t>
  </si>
  <si>
    <t>TOLIFE TECNOLOGIA PARA SAÚDE S/A</t>
  </si>
  <si>
    <t>Eduardo</t>
  </si>
  <si>
    <t>Rubens Quirino</t>
  </si>
  <si>
    <t>Denver</t>
  </si>
  <si>
    <t>Rubens</t>
  </si>
  <si>
    <t>Fabiano Soares Panissi</t>
  </si>
  <si>
    <t>Ícone C&amp;P</t>
  </si>
  <si>
    <t>Fabiano</t>
  </si>
  <si>
    <t>Lucas Meliato Battiston Vilela</t>
  </si>
  <si>
    <t>SS Telemática</t>
  </si>
  <si>
    <t>Lucas</t>
  </si>
  <si>
    <t>Norberto Depetris Junior</t>
  </si>
  <si>
    <t>Rivelli Alimentos</t>
  </si>
  <si>
    <t>Bigorrilho, Curitiba</t>
  </si>
  <si>
    <t>Norberto</t>
  </si>
  <si>
    <t>Alexander Barcelos Pereira</t>
  </si>
  <si>
    <t>Ache Laboratório</t>
  </si>
  <si>
    <t>Biguaçu</t>
  </si>
  <si>
    <t>Farmacêutico</t>
  </si>
  <si>
    <t>Saúde / Bem-Estar / Hospitalar</t>
  </si>
  <si>
    <t>Básico</t>
  </si>
  <si>
    <t>Alexander</t>
  </si>
  <si>
    <t>Ivoney Oliveira</t>
  </si>
  <si>
    <t>Bunge Brasil e Bunge Latin America</t>
  </si>
  <si>
    <t>Blumenau</t>
  </si>
  <si>
    <t>Gerente sênior</t>
  </si>
  <si>
    <t>Agronegócio</t>
  </si>
  <si>
    <t>Ivoney</t>
  </si>
  <si>
    <t>Leandro Henrique dos Santos Cabral</t>
  </si>
  <si>
    <t>Planejador Financeiro</t>
  </si>
  <si>
    <t>Proprietário</t>
  </si>
  <si>
    <t>Educação / Treinamento,Serviços Financeiros / Seguros</t>
  </si>
  <si>
    <t>VINICIUS BOËCHAT</t>
  </si>
  <si>
    <t>Webmotors</t>
  </si>
  <si>
    <t>Gerente especialista</t>
  </si>
  <si>
    <t>VINICIUS</t>
  </si>
  <si>
    <t>Pedro Henrique Mendonça</t>
  </si>
  <si>
    <t>Aché Laboratórios Farmacêuticos</t>
  </si>
  <si>
    <t>Representante propagandista</t>
  </si>
  <si>
    <t>Pedro</t>
  </si>
  <si>
    <t>João Adriano Filho</t>
  </si>
  <si>
    <t>ECOFIBER LTDA</t>
  </si>
  <si>
    <t>Gestor geral</t>
  </si>
  <si>
    <t>João</t>
  </si>
  <si>
    <t>Debora Hrentchechen</t>
  </si>
  <si>
    <t>Leroy Merlin</t>
  </si>
  <si>
    <t>Diretora comercial</t>
  </si>
  <si>
    <t>Varejo / Atacado</t>
  </si>
  <si>
    <t>Debora</t>
  </si>
  <si>
    <t>Eliano Tizone</t>
  </si>
  <si>
    <t>IPEL - Indaial Papel</t>
  </si>
  <si>
    <t>Gerente de marketing estratégico &amp; operações comerciais</t>
  </si>
  <si>
    <t>Celulose / Papel / Florestal / Madeira</t>
  </si>
  <si>
    <t>Eliano</t>
  </si>
  <si>
    <t>Jean Quintino</t>
  </si>
  <si>
    <t>HIDEA INDÚSTRIA A COMÉRCIO</t>
  </si>
  <si>
    <t>Gerente geral - nautica</t>
  </si>
  <si>
    <t>Jean</t>
  </si>
  <si>
    <t>ROLF PANTZIER</t>
  </si>
  <si>
    <t>GRUPO TAKAI (HONDA Automóveis)</t>
  </si>
  <si>
    <t>Gerente comercial</t>
  </si>
  <si>
    <t>ROLF</t>
  </si>
  <si>
    <t>Erich Landmayer</t>
  </si>
  <si>
    <t>Eart global services Ltd.</t>
  </si>
  <si>
    <t>Boituva</t>
  </si>
  <si>
    <t>50 anos em 170 paises</t>
  </si>
  <si>
    <t>Transporte / Logística</t>
  </si>
  <si>
    <t>Erich</t>
  </si>
  <si>
    <t>Luiz César Córdoba</t>
  </si>
  <si>
    <t>Brasília</t>
  </si>
  <si>
    <t>Superintendente</t>
  </si>
  <si>
    <t>Luiz</t>
  </si>
  <si>
    <t>Alexander Carvalho</t>
  </si>
  <si>
    <t>Diretoria comercial</t>
  </si>
  <si>
    <t>Matheus Eccher</t>
  </si>
  <si>
    <t>pef confecções</t>
  </si>
  <si>
    <t>Brusque</t>
  </si>
  <si>
    <t>Matheus</t>
  </si>
  <si>
    <t>Diorani Ferraz</t>
  </si>
  <si>
    <t>Viposa SA</t>
  </si>
  <si>
    <t>Caçador</t>
  </si>
  <si>
    <t>Sales manager</t>
  </si>
  <si>
    <t>Diorani</t>
  </si>
  <si>
    <t>Jorge Carneiro</t>
  </si>
  <si>
    <t>SEURECA LATAM</t>
  </si>
  <si>
    <t>Campeche, Florianópolis</t>
  </si>
  <si>
    <t>Diretor de gestão e planejamento</t>
  </si>
  <si>
    <t>Planejamento/SnOP</t>
  </si>
  <si>
    <t>Jorge</t>
  </si>
  <si>
    <t>Adriano Votto</t>
  </si>
  <si>
    <t>Habiflex Soluções Imobiliárias</t>
  </si>
  <si>
    <t>Diretor de operações</t>
  </si>
  <si>
    <t>Adriano</t>
  </si>
  <si>
    <t>Edu Godoy Martins Pio</t>
  </si>
  <si>
    <t>último empregador: Lesaffre</t>
  </si>
  <si>
    <t>Campinas</t>
  </si>
  <si>
    <t>Edu</t>
  </si>
  <si>
    <t>Vinicius Isac</t>
  </si>
  <si>
    <t>Stratura Asfaltos S.A.</t>
  </si>
  <si>
    <t>Diretor técnico comercial</t>
  </si>
  <si>
    <t>Vinicius</t>
  </si>
  <si>
    <t>Carlos Samartine</t>
  </si>
  <si>
    <t>Formatto e Franquias</t>
  </si>
  <si>
    <t>Consultor</t>
  </si>
  <si>
    <t>Carlos</t>
  </si>
  <si>
    <t>Maikel Rafael Ignacio</t>
  </si>
  <si>
    <t>Propul Expansão de Negócios</t>
  </si>
  <si>
    <t>Maikel</t>
  </si>
  <si>
    <t>Alexandre Andreolli</t>
  </si>
  <si>
    <t>Alexandre</t>
  </si>
  <si>
    <t>Ricardo Bomfim</t>
  </si>
  <si>
    <t>Albacon</t>
  </si>
  <si>
    <t>Ricardo</t>
  </si>
  <si>
    <t>ALEXANDRE CRUZ</t>
  </si>
  <si>
    <t>GRUPO BASE</t>
  </si>
  <si>
    <t>Gerente comercial e marketing</t>
  </si>
  <si>
    <t>Planejamento / Inteligência de Mercado</t>
  </si>
  <si>
    <t>ALEXANDRE</t>
  </si>
  <si>
    <t>Anderson Farias Medeiros</t>
  </si>
  <si>
    <t>A procura da empresa certa</t>
  </si>
  <si>
    <t>Encarregado de expedição</t>
  </si>
  <si>
    <t>Anderson</t>
  </si>
  <si>
    <t>Phellipp Alves</t>
  </si>
  <si>
    <t>CEO empresario</t>
  </si>
  <si>
    <t>Campo Grande</t>
  </si>
  <si>
    <t>Phellipp</t>
  </si>
  <si>
    <t>Alexandre Novais</t>
  </si>
  <si>
    <t>Executivo</t>
  </si>
  <si>
    <t>Energia / Fontes Renováveis</t>
  </si>
  <si>
    <t>Rodolfo Silva</t>
  </si>
  <si>
    <t>Supergasbras Energia</t>
  </si>
  <si>
    <t>Canoas</t>
  </si>
  <si>
    <t>Coordenador de venda sênior</t>
  </si>
  <si>
    <t>Rodolfo</t>
  </si>
  <si>
    <t>João Geraldo Telis</t>
  </si>
  <si>
    <t>Comil Silos e Secadores</t>
  </si>
  <si>
    <t>Cascavel</t>
  </si>
  <si>
    <t>Gerente comercio exterior</t>
  </si>
  <si>
    <t>BRUNO SUSIN</t>
  </si>
  <si>
    <t>Caxias do Sul</t>
  </si>
  <si>
    <t>BRUNO</t>
  </si>
  <si>
    <t>Cezar Martinez</t>
  </si>
  <si>
    <t>EMS – INDÚSTRIA FARMACEUTICA (Farma)</t>
  </si>
  <si>
    <t>Gerente distrital de demanda – divisão prescrição médica</t>
  </si>
  <si>
    <t>Cezar</t>
  </si>
  <si>
    <t>R$800.000 - R$900.000</t>
  </si>
  <si>
    <t>Maicol Dondé</t>
  </si>
  <si>
    <t>Hidromas Brasil</t>
  </si>
  <si>
    <t>Gerente geral de vendas e marketing</t>
  </si>
  <si>
    <t>Maicol</t>
  </si>
  <si>
    <t>Alex Martinotto</t>
  </si>
  <si>
    <t>BRASLUX</t>
  </si>
  <si>
    <t>Gerente exportação e novos negócios</t>
  </si>
  <si>
    <t>Exportação/Mercado internacional</t>
  </si>
  <si>
    <t>Alex</t>
  </si>
  <si>
    <t>Geliandro Feltrin</t>
  </si>
  <si>
    <t>Escritório Safra Invest</t>
  </si>
  <si>
    <t>Chapecó</t>
  </si>
  <si>
    <t>Assessoria</t>
  </si>
  <si>
    <t>Geliandro</t>
  </si>
  <si>
    <t>André Pedrotti</t>
  </si>
  <si>
    <t>80 % fixo 20% variáveis bônus semestral</t>
  </si>
  <si>
    <t>Gerente de vendas</t>
  </si>
  <si>
    <t>André</t>
  </si>
  <si>
    <t>Josiane Marcello Sartor</t>
  </si>
  <si>
    <t>CDL</t>
  </si>
  <si>
    <t>Cocal do Sul</t>
  </si>
  <si>
    <t>Josiane</t>
  </si>
  <si>
    <t>Agnaldo Silveira Vicente</t>
  </si>
  <si>
    <t>AS VICENTE MULTI ORGANIZACAO DE VENDAS</t>
  </si>
  <si>
    <t>Criciúma</t>
  </si>
  <si>
    <t>Agnaldo</t>
  </si>
  <si>
    <t>Celso Thadeu Carneiro de Menezes</t>
  </si>
  <si>
    <t>Indústria brasileira</t>
  </si>
  <si>
    <t>Celso</t>
  </si>
  <si>
    <t>Eduardo Pizzetti</t>
  </si>
  <si>
    <t>Construtora BS</t>
  </si>
  <si>
    <t>Head comercial</t>
  </si>
  <si>
    <t>Daniel Zilio</t>
  </si>
  <si>
    <t>Librepar S.A.</t>
  </si>
  <si>
    <t>Gerente corporativo de aftermarket</t>
  </si>
  <si>
    <t>Wagner Ribas Tortelli</t>
  </si>
  <si>
    <t>SomoSSolution Consulting</t>
  </si>
  <si>
    <t>Cuiabá</t>
  </si>
  <si>
    <t>Consultor empresarial</t>
  </si>
  <si>
    <t>Wagner</t>
  </si>
  <si>
    <t>Carlos Scher</t>
  </si>
  <si>
    <t>Diretor comercial e operações</t>
  </si>
  <si>
    <t>atanael tedesco</t>
  </si>
  <si>
    <t>Skymail</t>
  </si>
  <si>
    <t>Curitiba</t>
  </si>
  <si>
    <t>Executivo comercial sr</t>
  </si>
  <si>
    <t>atanael</t>
  </si>
  <si>
    <t>Moabe Cândido da Silva</t>
  </si>
  <si>
    <t>Pop Me Artigos de Vestuário Ltda.</t>
  </si>
  <si>
    <t>Head executiva | dir. comercial e de marketing</t>
  </si>
  <si>
    <t>Moabe</t>
  </si>
  <si>
    <t>Evandro Vieira dos Santos Filho</t>
  </si>
  <si>
    <t>Conselheiro</t>
  </si>
  <si>
    <t>Evandro</t>
  </si>
  <si>
    <t>Ederson Marsano</t>
  </si>
  <si>
    <t>Roca Sanitários Brasil Ltda</t>
  </si>
  <si>
    <t>Gerente de exportação</t>
  </si>
  <si>
    <t>Ederson</t>
  </si>
  <si>
    <t>Leandro Quintino</t>
  </si>
  <si>
    <t>VetBr Investida Fundo AQUA Capital</t>
  </si>
  <si>
    <t>Coo - diretor de operações</t>
  </si>
  <si>
    <t>Logística</t>
  </si>
  <si>
    <t>Carlos Henrique Parreira Zebral</t>
  </si>
  <si>
    <t>Magnetron ind de.pecas para motos</t>
  </si>
  <si>
    <t>Diretor nacional de vendas</t>
  </si>
  <si>
    <t>B2C</t>
  </si>
  <si>
    <t>Paulo Machado</t>
  </si>
  <si>
    <t>Gobrax Serviços em Tecnologia</t>
  </si>
  <si>
    <t>Diretor de growth</t>
  </si>
  <si>
    <t>Paulo</t>
  </si>
  <si>
    <t>Rômulo Sousa Lisboa</t>
  </si>
  <si>
    <t>STCP Engenharia de Projetos</t>
  </si>
  <si>
    <t>Diretor de desenvolvimento e qualidade</t>
  </si>
  <si>
    <t>Rômulo</t>
  </si>
  <si>
    <t>Marcelo Borges Nogueira</t>
  </si>
  <si>
    <t>Fersa Group</t>
  </si>
  <si>
    <t>Diretor geral</t>
  </si>
  <si>
    <t>Marcelo</t>
  </si>
  <si>
    <t>Giovani Corrêa</t>
  </si>
  <si>
    <t>Giovani</t>
  </si>
  <si>
    <t>ROSEMIR GOMES</t>
  </si>
  <si>
    <t>GRECA Asfaltos</t>
  </si>
  <si>
    <t>Conselheiro consultivo</t>
  </si>
  <si>
    <t>Pretensão acima</t>
  </si>
  <si>
    <t>ROSEMIR</t>
  </si>
  <si>
    <t>José Agner Maia</t>
  </si>
  <si>
    <t>Grupo Agrocompetence</t>
  </si>
  <si>
    <t>Cmo</t>
  </si>
  <si>
    <t>José</t>
  </si>
  <si>
    <t>Alan Giuliano Dall Alba Ceppini</t>
  </si>
  <si>
    <t>Grupo Alpes</t>
  </si>
  <si>
    <t>Cso</t>
  </si>
  <si>
    <t>Alan</t>
  </si>
  <si>
    <t>Wagner Fernando Fernando da Silva</t>
  </si>
  <si>
    <t>Nenhum</t>
  </si>
  <si>
    <t>Diretor estatutário de operações</t>
  </si>
  <si>
    <t>Gustavo Bianchi</t>
  </si>
  <si>
    <t>Puratos</t>
  </si>
  <si>
    <t>Gustavo</t>
  </si>
  <si>
    <t>Juliano Antonio Frizzo</t>
  </si>
  <si>
    <t>Fruvil</t>
  </si>
  <si>
    <t>Gerente de suply chain / operacoes</t>
  </si>
  <si>
    <t>Juliano</t>
  </si>
  <si>
    <t>Diego Rodrigues De Freitas</t>
  </si>
  <si>
    <t>PJ Alta Renda - Cooperativa Sicredi</t>
  </si>
  <si>
    <t>Gerente de negócios</t>
  </si>
  <si>
    <t>Diego</t>
  </si>
  <si>
    <t>Fabio Eugênio da Cruz Colares</t>
  </si>
  <si>
    <t>Darnel</t>
  </si>
  <si>
    <t>Gerente regional</t>
  </si>
  <si>
    <t>Fabio</t>
  </si>
  <si>
    <t>Roberta Damasceno</t>
  </si>
  <si>
    <t>Subway Systems do Brasil</t>
  </si>
  <si>
    <t>Gerente de operações</t>
  </si>
  <si>
    <t>Roberta</t>
  </si>
  <si>
    <t>Superior a R$900.000</t>
  </si>
  <si>
    <t>Luciano Sech</t>
  </si>
  <si>
    <t>Em recolocação</t>
  </si>
  <si>
    <t>Gerencia comercial</t>
  </si>
  <si>
    <t>Luciano</t>
  </si>
  <si>
    <t>Nelson Leonel de Carvalho Junior</t>
  </si>
  <si>
    <t>GRUPO TELHAS PARANÁ</t>
  </si>
  <si>
    <t>Nelson</t>
  </si>
  <si>
    <t>Paulo Tumasz Júnior</t>
  </si>
  <si>
    <t>Kango Brasil</t>
  </si>
  <si>
    <t>Paulo Henrique Talavera</t>
  </si>
  <si>
    <t>PUC angels</t>
  </si>
  <si>
    <t>Conselheiro anjo e mentor</t>
  </si>
  <si>
    <t>Bruna Rodrigues</t>
  </si>
  <si>
    <t>RODOXISTO TRANSPORTES</t>
  </si>
  <si>
    <t>Gerente geral comercial</t>
  </si>
  <si>
    <t>Bruna</t>
  </si>
  <si>
    <t>Marcelo Tarnowski</t>
  </si>
  <si>
    <t>Volvo do Brasil</t>
  </si>
  <si>
    <t>After-sales commercial manager area</t>
  </si>
  <si>
    <t>Fernando Andreatta</t>
  </si>
  <si>
    <t>Espaço Smart</t>
  </si>
  <si>
    <t>Produto e P&amp;D</t>
  </si>
  <si>
    <t>Fernando</t>
  </si>
  <si>
    <t>Osvaldo Fernandes De Mattos Junior</t>
  </si>
  <si>
    <t>GRUPO SC MEDICAL</t>
  </si>
  <si>
    <t>Gerente nacional de vendas</t>
  </si>
  <si>
    <t>Osvaldo</t>
  </si>
  <si>
    <t>Sandro Menezes</t>
  </si>
  <si>
    <t>AG LEADER TECHNOLOGY LTDA</t>
  </si>
  <si>
    <t>Latin america regional manager</t>
  </si>
  <si>
    <t>Sandro</t>
  </si>
  <si>
    <t>Adriano Avila Ponsi</t>
  </si>
  <si>
    <t>INVESTMONEY SA</t>
  </si>
  <si>
    <t>Chief operations officer (coo)</t>
  </si>
  <si>
    <t>Planejamento financeiro/FP&amp;A</t>
  </si>
  <si>
    <t>Serviços Financeiros / Seguros</t>
  </si>
  <si>
    <t>Paulo De Tarso Maia Sant'anna</t>
  </si>
  <si>
    <t>Indústria de Móveis Finger Ltda.</t>
  </si>
  <si>
    <t>Processos e Melhoria Continua</t>
  </si>
  <si>
    <t>José Marcio de Vasconcellos</t>
  </si>
  <si>
    <t>BASF SA</t>
  </si>
  <si>
    <t>SÃO PAULO</t>
  </si>
  <si>
    <t>Gerente sênior de vendas</t>
  </si>
  <si>
    <t>Juliano Wolf</t>
  </si>
  <si>
    <t>ESPUMAS LTDA.</t>
  </si>
  <si>
    <t>Dois Irmãos</t>
  </si>
  <si>
    <t>WELLINGTON SOARES</t>
  </si>
  <si>
    <t>Planalto Indústria Têxtil - Encantado/RS</t>
  </si>
  <si>
    <t>WELLINGTON</t>
  </si>
  <si>
    <t>GLEBSON GOMES</t>
  </si>
  <si>
    <t>A combinar</t>
  </si>
  <si>
    <t>El Brasil</t>
  </si>
  <si>
    <t>Httml</t>
  </si>
  <si>
    <t>GLEBSON</t>
  </si>
  <si>
    <t>Eduardo Pocovi</t>
  </si>
  <si>
    <t>CS3 Revestimentos</t>
  </si>
  <si>
    <t>Espírito Santo</t>
  </si>
  <si>
    <t>Denis Viel</t>
  </si>
  <si>
    <t>SP Combustíveis</t>
  </si>
  <si>
    <t>Eusébio</t>
  </si>
  <si>
    <t>Gerente nacional de vendas a varejo</t>
  </si>
  <si>
    <t>Denis</t>
  </si>
  <si>
    <t>Mauricio Linhares</t>
  </si>
  <si>
    <t>IBCMED</t>
  </si>
  <si>
    <t>Florianópolis</t>
  </si>
  <si>
    <t>Diretor de mktg e vendas</t>
  </si>
  <si>
    <t>Mauricio</t>
  </si>
  <si>
    <t>Luis Pereira Morgado</t>
  </si>
  <si>
    <t>Precon Industrial S/A</t>
  </si>
  <si>
    <t>Luis</t>
  </si>
  <si>
    <t>Otávio Cantoni</t>
  </si>
  <si>
    <t>Construtora Moinho</t>
  </si>
  <si>
    <t>Cfo &amp; cso</t>
  </si>
  <si>
    <t>Otávio</t>
  </si>
  <si>
    <t>Guilherme Miranda</t>
  </si>
  <si>
    <t>Santos Autos</t>
  </si>
  <si>
    <t>Guilherme</t>
  </si>
  <si>
    <t>Marcelo Correa Medeiros</t>
  </si>
  <si>
    <t>Sócio fundador</t>
  </si>
  <si>
    <t>Clayton Negri</t>
  </si>
  <si>
    <t>Portobello Grupo</t>
  </si>
  <si>
    <t>Clayton</t>
  </si>
  <si>
    <t>Lincon Beraldo</t>
  </si>
  <si>
    <t>LBCOMPANY</t>
  </si>
  <si>
    <t>Lincon</t>
  </si>
  <si>
    <t>Fábio De Escobar Prado</t>
  </si>
  <si>
    <t>Projeta Brasil</t>
  </si>
  <si>
    <t>Fábio</t>
  </si>
  <si>
    <t>Priscila Andrade</t>
  </si>
  <si>
    <t>Pj</t>
  </si>
  <si>
    <t>Estratégia</t>
  </si>
  <si>
    <t>Priscila</t>
  </si>
  <si>
    <t>Juliano Tobias</t>
  </si>
  <si>
    <t>Tobias Consultoria</t>
  </si>
  <si>
    <t>Anderson de Paula Marconi</t>
  </si>
  <si>
    <t>VERO internet</t>
  </si>
  <si>
    <t>Gerente executivo/diretoria sul</t>
  </si>
  <si>
    <t>Yvan Ferreira</t>
  </si>
  <si>
    <t>Coordenador</t>
  </si>
  <si>
    <t>Yvan</t>
  </si>
  <si>
    <t>Emiliano Machado</t>
  </si>
  <si>
    <t>Donc</t>
  </si>
  <si>
    <t>Account manager</t>
  </si>
  <si>
    <t>Emiliano</t>
  </si>
  <si>
    <t>filipe soares mello</t>
  </si>
  <si>
    <t>shopping da casa materiais de contrução</t>
  </si>
  <si>
    <t>Proprietario</t>
  </si>
  <si>
    <t>filipe</t>
  </si>
  <si>
    <t>Elias Pauluk</t>
  </si>
  <si>
    <t>BTG Pactual</t>
  </si>
  <si>
    <t>Elias</t>
  </si>
  <si>
    <t>Ricardo Avila Ferreira</t>
  </si>
  <si>
    <t>Autônomo</t>
  </si>
  <si>
    <t>Moyzes Rosgrin Netto</t>
  </si>
  <si>
    <t>OperaeMP Ltda</t>
  </si>
  <si>
    <t>Moyzes</t>
  </si>
  <si>
    <t>Marcus VinÌ_cius Ferraz Haudsch</t>
  </si>
  <si>
    <t>Intelbras</t>
  </si>
  <si>
    <t>Gerente nacional de soluì¤ìµes e projetos</t>
  </si>
  <si>
    <t>Marcus</t>
  </si>
  <si>
    <t>Ralfe Romero</t>
  </si>
  <si>
    <t>ACORDOS</t>
  </si>
  <si>
    <t>Florianópolis / SC</t>
  </si>
  <si>
    <t>Ralfe</t>
  </si>
  <si>
    <t>Vilson Barbosa Filho</t>
  </si>
  <si>
    <t>Dasart Malls</t>
  </si>
  <si>
    <t>Fortaleza</t>
  </si>
  <si>
    <t>Gerente comercial corporativo</t>
  </si>
  <si>
    <t>Vilson</t>
  </si>
  <si>
    <t>Jose Menezes Junior</t>
  </si>
  <si>
    <t>RODOIL DISTRIBUIDORA DE COMBUSTÍVEIS S/A</t>
  </si>
  <si>
    <t>Jose</t>
  </si>
  <si>
    <t>Rogério Tavares</t>
  </si>
  <si>
    <t>Trevo Drywall</t>
  </si>
  <si>
    <t>Carlos Roberto RIGAILO</t>
  </si>
  <si>
    <t>CRR ADMINISTRAÇÃO</t>
  </si>
  <si>
    <t>FORTALEZA</t>
  </si>
  <si>
    <t>Eduardo Laub</t>
  </si>
  <si>
    <t>Laub Soluções Ltda.</t>
  </si>
  <si>
    <t>Tiago Ribas Rodrigues</t>
  </si>
  <si>
    <t>Veiga Sul Equipamentos Industriais</t>
  </si>
  <si>
    <t>Garibaldi</t>
  </si>
  <si>
    <t>Tiago</t>
  </si>
  <si>
    <t>VANESSA FIORAVANTE</t>
  </si>
  <si>
    <t>Stello Monteiro Construtora e Incorporadora</t>
  </si>
  <si>
    <t>Garopaba</t>
  </si>
  <si>
    <t>Admnistrativo, financeiro, compras</t>
  </si>
  <si>
    <t>VANESSA</t>
  </si>
  <si>
    <t>Welyngton Gazaniga</t>
  </si>
  <si>
    <t>Thati Malhas</t>
  </si>
  <si>
    <t>Gaspar</t>
  </si>
  <si>
    <t>Consultor estrategista</t>
  </si>
  <si>
    <t>Welyngton</t>
  </si>
  <si>
    <t>Bruno Mayer</t>
  </si>
  <si>
    <t>Soprano Indústria Eletrometalúrgica</t>
  </si>
  <si>
    <t>São Paulo</t>
  </si>
  <si>
    <t>Bruno</t>
  </si>
  <si>
    <t>Jhonantan Nascimento Cunha</t>
  </si>
  <si>
    <t>Não estou empregado</t>
  </si>
  <si>
    <t>Goiânia</t>
  </si>
  <si>
    <t>Diretoria</t>
  </si>
  <si>
    <t>Jhonantan</t>
  </si>
  <si>
    <t>Nickolas Camerino</t>
  </si>
  <si>
    <t>BellaBrand</t>
  </si>
  <si>
    <t>Diretor de logística</t>
  </si>
  <si>
    <t>Nickolas</t>
  </si>
  <si>
    <t>Werley Rodrigues da Silva</t>
  </si>
  <si>
    <t>Empresário e Diretor de expansão e novos negócios</t>
  </si>
  <si>
    <t>Diretor comercial e logística</t>
  </si>
  <si>
    <t>Werley</t>
  </si>
  <si>
    <t>Vanderlei de Freitas Dias</t>
  </si>
  <si>
    <t>Tradimaq S.A.</t>
  </si>
  <si>
    <t>Atendimento</t>
  </si>
  <si>
    <t>Vanderlei</t>
  </si>
  <si>
    <t>Frederico Gomes de Menezes</t>
  </si>
  <si>
    <t>Morar Mais por Menos</t>
  </si>
  <si>
    <t>Diretor executivo de vendas e marketing</t>
  </si>
  <si>
    <t>Frederico</t>
  </si>
  <si>
    <t>Alex Motta</t>
  </si>
  <si>
    <t>Guaíba</t>
  </si>
  <si>
    <t>Business development</t>
  </si>
  <si>
    <t>Diego Rito Bordón</t>
  </si>
  <si>
    <t>Toklar</t>
  </si>
  <si>
    <t>Ijuí</t>
  </si>
  <si>
    <t>Supervisor</t>
  </si>
  <si>
    <t>Jailson da Silva</t>
  </si>
  <si>
    <t>Empreendedor</t>
  </si>
  <si>
    <t>Ilhota SC</t>
  </si>
  <si>
    <t>Jailson</t>
  </si>
  <si>
    <t>Sérgio De Araujo</t>
  </si>
  <si>
    <t>Fibral Manutenção e Montagem Industrial</t>
  </si>
  <si>
    <t>Inhapim</t>
  </si>
  <si>
    <t>Gerente operacional</t>
  </si>
  <si>
    <t>Sérgio</t>
  </si>
  <si>
    <t>Cristiano Guerra Diniz</t>
  </si>
  <si>
    <t>nettworking. negocios</t>
  </si>
  <si>
    <t>Ipatinga</t>
  </si>
  <si>
    <t>Cristiano</t>
  </si>
  <si>
    <t>PAULO DE ALBUQUERQUE</t>
  </si>
  <si>
    <t>PRA TREINAM PROFISSIONAL LTDA</t>
  </si>
  <si>
    <t>Itajaí</t>
  </si>
  <si>
    <t>PAULO</t>
  </si>
  <si>
    <t>Vanderson Ferreira</t>
  </si>
  <si>
    <t>Luft</t>
  </si>
  <si>
    <t>Vanderson</t>
  </si>
  <si>
    <t>Luiz Alberto Siqueira</t>
  </si>
  <si>
    <t>Porto5 Empreendimentos Imobiliarios</t>
  </si>
  <si>
    <t>Diretor executivo e comercila</t>
  </si>
  <si>
    <t>Ricardo Machado</t>
  </si>
  <si>
    <t>Komeco</t>
  </si>
  <si>
    <t>SÉRGIO CAMPOS</t>
  </si>
  <si>
    <t>EDE Recycled Energy</t>
  </si>
  <si>
    <t>Itapema</t>
  </si>
  <si>
    <t>SÉRGIO</t>
  </si>
  <si>
    <t>Silfarnei Renner Paz</t>
  </si>
  <si>
    <t>R1 Investimento</t>
  </si>
  <si>
    <t>Gerente comercial &amp; estrategista de grandes negócios</t>
  </si>
  <si>
    <t>Silfarnei</t>
  </si>
  <si>
    <t>Alex Fernando Robi</t>
  </si>
  <si>
    <t>Flexco Brasil Ltda.</t>
  </si>
  <si>
    <t>Itatiba</t>
  </si>
  <si>
    <t>Carlos Santa Izabel</t>
  </si>
  <si>
    <t>Shell</t>
  </si>
  <si>
    <t>Jaraguá do Sul</t>
  </si>
  <si>
    <t>Commercial manager latam</t>
  </si>
  <si>
    <t>Alerson Gonsalves</t>
  </si>
  <si>
    <t>Autocar Premium</t>
  </si>
  <si>
    <t>Alerson</t>
  </si>
  <si>
    <t>Roni Branco</t>
  </si>
  <si>
    <t>Multilist</t>
  </si>
  <si>
    <t>Gestor comercial</t>
  </si>
  <si>
    <t>Roni</t>
  </si>
  <si>
    <t>João Ferreira Cabral Neto</t>
  </si>
  <si>
    <t>GRUPO BRADEL</t>
  </si>
  <si>
    <t>JARDIM AMERICA, Goiania</t>
  </si>
  <si>
    <t>Gerente executivo de vendas e marketing</t>
  </si>
  <si>
    <t>Eletroeletrônico / Linha Branca</t>
  </si>
  <si>
    <t>Edgardo Deodato Silva</t>
  </si>
  <si>
    <t>Innovapharma</t>
  </si>
  <si>
    <t>Jardim Goiás, Goiânia</t>
  </si>
  <si>
    <t>Edgardo</t>
  </si>
  <si>
    <t>Ana Paula Ribeiro</t>
  </si>
  <si>
    <t>Joaçaba</t>
  </si>
  <si>
    <t>Charles Zamora</t>
  </si>
  <si>
    <t>Unilever</t>
  </si>
  <si>
    <t>João Pessoa</t>
  </si>
  <si>
    <t>Charles</t>
  </si>
  <si>
    <t>André De Nadai</t>
  </si>
  <si>
    <t>Docol Metais Sanitários</t>
  </si>
  <si>
    <t>Joinville</t>
  </si>
  <si>
    <t>Anderson Gonçalves</t>
  </si>
  <si>
    <t>Empresa de médio porte</t>
  </si>
  <si>
    <t>Diretor de operações (coo)</t>
  </si>
  <si>
    <t>Paulo Bauer</t>
  </si>
  <si>
    <t>Whirlpool Corporation</t>
  </si>
  <si>
    <t>Senior manager</t>
  </si>
  <si>
    <t>Luiz Henrique Pereira dos Santos</t>
  </si>
  <si>
    <t>Ciser</t>
  </si>
  <si>
    <t>Carlos Andre Birckholz</t>
  </si>
  <si>
    <t>GSP Automotive</t>
  </si>
  <si>
    <t>Diretor de negócios de aftermarket</t>
  </si>
  <si>
    <t>Fabrizio Monich Marzall</t>
  </si>
  <si>
    <t>Target South</t>
  </si>
  <si>
    <t>Diretor de varejo</t>
  </si>
  <si>
    <t>Fabrizio</t>
  </si>
  <si>
    <t>Wilson Molina</t>
  </si>
  <si>
    <t>Negociando</t>
  </si>
  <si>
    <t>Desenvolvimento projetos</t>
  </si>
  <si>
    <t>Wilson</t>
  </si>
  <si>
    <t>Eli Roberto Malisia Junior</t>
  </si>
  <si>
    <t>Gerente Nacional de Vendas</t>
  </si>
  <si>
    <t>Gerente nacional de vendas sul e regional de vendas (foz do itajai)</t>
  </si>
  <si>
    <t>Eli</t>
  </si>
  <si>
    <t>Maicon Pereira</t>
  </si>
  <si>
    <t>Zanotti Elásticos</t>
  </si>
  <si>
    <t>Maicon</t>
  </si>
  <si>
    <t>Felipe Augusto Valle Tomazi</t>
  </si>
  <si>
    <t>Cisabrasile Ltda</t>
  </si>
  <si>
    <t>Diretor comercial internacional</t>
  </si>
  <si>
    <t>Felipe</t>
  </si>
  <si>
    <t>Rafael Gustavo Fidelis de Aguiar</t>
  </si>
  <si>
    <t>Distribuidora FortWerken</t>
  </si>
  <si>
    <t>Rafael</t>
  </si>
  <si>
    <t>Fábio Andrade</t>
  </si>
  <si>
    <t>Perfil Térmico</t>
  </si>
  <si>
    <t>Head de marketing e vendas</t>
  </si>
  <si>
    <t>Fernando Leite</t>
  </si>
  <si>
    <t>Hawk esportes</t>
  </si>
  <si>
    <t>Planejamento e orçamento</t>
  </si>
  <si>
    <t>GUSTAVO LORENTZ</t>
  </si>
  <si>
    <t>MAGNA</t>
  </si>
  <si>
    <t>GUSTAVO</t>
  </si>
  <si>
    <t>TASSINARI Tassinari</t>
  </si>
  <si>
    <t>Wetzel SA.</t>
  </si>
  <si>
    <t>TASSINARI</t>
  </si>
  <si>
    <t>Antonio Buccino Neto</t>
  </si>
  <si>
    <t>DEMAPE</t>
  </si>
  <si>
    <t>Jundiaí</t>
  </si>
  <si>
    <t>Antonio</t>
  </si>
  <si>
    <t>Jonathan Padilha</t>
  </si>
  <si>
    <t>Sem trabalho no momento</t>
  </si>
  <si>
    <t>Lages</t>
  </si>
  <si>
    <t>Jonathan</t>
  </si>
  <si>
    <t>leandro morais</t>
  </si>
  <si>
    <t>Diretor financeiro</t>
  </si>
  <si>
    <t>Las Minas [Granja]</t>
  </si>
  <si>
    <t>Diretor financeiro responsável por todas as atividades financeiras das empresas</t>
  </si>
  <si>
    <t>leandro</t>
  </si>
  <si>
    <t>Cleber Pinheiro</t>
  </si>
  <si>
    <t>Decor Colors</t>
  </si>
  <si>
    <t>Liberdade, São Paulo</t>
  </si>
  <si>
    <t>Diretor de marca</t>
  </si>
  <si>
    <t>Banking</t>
  </si>
  <si>
    <t>Cleber</t>
  </si>
  <si>
    <t>Diego Matias</t>
  </si>
  <si>
    <t>Londrina</t>
  </si>
  <si>
    <t>Anderson Bittencourt</t>
  </si>
  <si>
    <t>Yamaha Motor do Brasil</t>
  </si>
  <si>
    <t>Trabalhei como representante</t>
  </si>
  <si>
    <t>Pedro Mendonça Ferreira</t>
  </si>
  <si>
    <t>GRUPO AURORA IMOBI</t>
  </si>
  <si>
    <t>Leandro Brito</t>
  </si>
  <si>
    <t>GRUPO PMZ</t>
  </si>
  <si>
    <t>Manaus</t>
  </si>
  <si>
    <t>Gerente executivo comercial</t>
  </si>
  <si>
    <t>Mailson de Paula Freitas Rodrigues</t>
  </si>
  <si>
    <t>Maringá</t>
  </si>
  <si>
    <t>Mailson</t>
  </si>
  <si>
    <t>Varnel Moreno</t>
  </si>
  <si>
    <t>AGRICASE</t>
  </si>
  <si>
    <t>Varnel</t>
  </si>
  <si>
    <t>Conrado Lima</t>
  </si>
  <si>
    <t>Finish My Condo</t>
  </si>
  <si>
    <t>Senior partner</t>
  </si>
  <si>
    <t>Conrado</t>
  </si>
  <si>
    <t>Adriano Pereira</t>
  </si>
  <si>
    <t>Minas Gerais</t>
  </si>
  <si>
    <t>WENDEL DE SANTANA</t>
  </si>
  <si>
    <t>Disponível</t>
  </si>
  <si>
    <t>Monte Alto</t>
  </si>
  <si>
    <t>WENDEL</t>
  </si>
  <si>
    <t>Edgar Noe Berrelleza</t>
  </si>
  <si>
    <t>Dollar General</t>
  </si>
  <si>
    <t>Sub director comercial</t>
  </si>
  <si>
    <t>Edgar</t>
  </si>
  <si>
    <t>Edcarlo Silveira Monteiro</t>
  </si>
  <si>
    <t>Covepe Comércio de Veículos Pesados Ltda</t>
  </si>
  <si>
    <t>Muriaé</t>
  </si>
  <si>
    <t>Edcarlo</t>
  </si>
  <si>
    <t>Bruno Morales</t>
  </si>
  <si>
    <t>FATO BÁSICO</t>
  </si>
  <si>
    <t>Navegantes</t>
  </si>
  <si>
    <t>Head of sales</t>
  </si>
  <si>
    <t>Glaucio de Souza Dias</t>
  </si>
  <si>
    <t>GD DIAS Representações</t>
  </si>
  <si>
    <t>Niterói</t>
  </si>
  <si>
    <t>Glaucio</t>
  </si>
  <si>
    <t>Andrei Santos Pires</t>
  </si>
  <si>
    <t>DISCFONE DISTRIBUIDORA</t>
  </si>
  <si>
    <t>Nova, Palhoça, Palhoça</t>
  </si>
  <si>
    <t>Gerente de produtos e negócios</t>
  </si>
  <si>
    <t>Andrei</t>
  </si>
  <si>
    <t>PHELIPE CURTI</t>
  </si>
  <si>
    <t>FCC</t>
  </si>
  <si>
    <t>Novo Hamburgo</t>
  </si>
  <si>
    <t>Gerente de negócios latam</t>
  </si>
  <si>
    <t>PHELIPE</t>
  </si>
  <si>
    <t>Albery Sommer</t>
  </si>
  <si>
    <t>Marca</t>
  </si>
  <si>
    <t>Diretor comercial | alexander rep lt</t>
  </si>
  <si>
    <t>Albery</t>
  </si>
  <si>
    <t>Marcos Abib</t>
  </si>
  <si>
    <t>FDC Desenvolvimento de Negócios</t>
  </si>
  <si>
    <t>Marcos</t>
  </si>
  <si>
    <t>MARCELO PAIM ALVES</t>
  </si>
  <si>
    <t>PAUTA IMÓVEIS</t>
  </si>
  <si>
    <t>Palhoça</t>
  </si>
  <si>
    <t>Gestor e corretor de imóveis</t>
  </si>
  <si>
    <t>MARCELO</t>
  </si>
  <si>
    <t>Jonas Pereira Junior</t>
  </si>
  <si>
    <t>Jonas</t>
  </si>
  <si>
    <t>Fábio Sartori</t>
  </si>
  <si>
    <t>Atacadão das Ferramentas</t>
  </si>
  <si>
    <t>Thiago Ramos</t>
  </si>
  <si>
    <t>FAZENDÃO AGRONEGOCIOS LTDA</t>
  </si>
  <si>
    <t>Palmas</t>
  </si>
  <si>
    <t>Diretor administrativo</t>
  </si>
  <si>
    <t>Thiago</t>
  </si>
  <si>
    <t>Diego Ribas</t>
  </si>
  <si>
    <t>Parauapebas</t>
  </si>
  <si>
    <t>Gerente geral de operações</t>
  </si>
  <si>
    <t>Tibério Lopes</t>
  </si>
  <si>
    <t>UNIMENTOR</t>
  </si>
  <si>
    <t>Paulista</t>
  </si>
  <si>
    <t>Tibério</t>
  </si>
  <si>
    <t>José Eduardo de Carvalho Bayeux</t>
  </si>
  <si>
    <t>Gracia &amp; Tozzi Advogados Associados</t>
  </si>
  <si>
    <t>Perdizes, São Paulo</t>
  </si>
  <si>
    <t>Gerente administrativo financeiro</t>
  </si>
  <si>
    <t>Filipe Scigliano Silva Pinto</t>
  </si>
  <si>
    <t>Hecke Alimentos</t>
  </si>
  <si>
    <t>Piracicaba</t>
  </si>
  <si>
    <t>Gestor institucional - sudeste</t>
  </si>
  <si>
    <t>Filipe</t>
  </si>
  <si>
    <t>João Paulo Woytichoski</t>
  </si>
  <si>
    <t>Jean Lucas Schornobai</t>
  </si>
  <si>
    <t>Ponta Grossa</t>
  </si>
  <si>
    <t>Fernando Di Diego</t>
  </si>
  <si>
    <t>Unicred</t>
  </si>
  <si>
    <t>Porto Alegre</t>
  </si>
  <si>
    <t>Head marketing | cmo | produtos e negócios financeiros | cx |</t>
  </si>
  <si>
    <t>Christian Radke</t>
  </si>
  <si>
    <t>SS White Duflex</t>
  </si>
  <si>
    <t>Christian</t>
  </si>
  <si>
    <t>Marcelo Gerhardt</t>
  </si>
  <si>
    <t>Soprano</t>
  </si>
  <si>
    <t>Gerente nacional de vendas e trade mkt</t>
  </si>
  <si>
    <t>Ernesto Ortiz</t>
  </si>
  <si>
    <t>Asun Supermercados</t>
  </si>
  <si>
    <t>Gerente de expansão</t>
  </si>
  <si>
    <t>Ernesto</t>
  </si>
  <si>
    <t>Leonardo Schewtschik</t>
  </si>
  <si>
    <t>GRUPO SCHEW</t>
  </si>
  <si>
    <t>Leonardo</t>
  </si>
  <si>
    <t>Rogério Oliveira Da Rocha</t>
  </si>
  <si>
    <t>Brasil TecPar</t>
  </si>
  <si>
    <t>Head comercial corporativo</t>
  </si>
  <si>
    <t>Cristiano Teixeira</t>
  </si>
  <si>
    <t>Com Áudio aparelhos auditivos</t>
  </si>
  <si>
    <t>Administration head</t>
  </si>
  <si>
    <t>Andréa Netto Sala</t>
  </si>
  <si>
    <t>Viezzer Supermercados</t>
  </si>
  <si>
    <t>Gestora de categoria</t>
  </si>
  <si>
    <t>Andréa</t>
  </si>
  <si>
    <t>Giancarlo Kinaslki Colla</t>
  </si>
  <si>
    <t>BASF</t>
  </si>
  <si>
    <t>Consultor de neg�_cios</t>
  </si>
  <si>
    <t>Giancarlo</t>
  </si>
  <si>
    <t>Savio Pereira</t>
  </si>
  <si>
    <t>G RACING COMPETIÇÕES E PARTICIPAÇÕES</t>
  </si>
  <si>
    <t>Gestor comercial nacional</t>
  </si>
  <si>
    <t>Savio</t>
  </si>
  <si>
    <t>Mauro Antonio</t>
  </si>
  <si>
    <t>PORTO SUL SOLUCOES AMBIENTAIS LTDA</t>
  </si>
  <si>
    <t>Gerente comercial/marketing</t>
  </si>
  <si>
    <t>Mauro</t>
  </si>
  <si>
    <t>Marcelo Dias</t>
  </si>
  <si>
    <t>Vigitrack</t>
  </si>
  <si>
    <t>Diretor de vendas e marketing</t>
  </si>
  <si>
    <t>André Matzenbacher</t>
  </si>
  <si>
    <t>Altecnica Indústria e Comécio Ltda.</t>
  </si>
  <si>
    <t>Mauricio Spengler</t>
  </si>
  <si>
    <t>Diretor vendas</t>
  </si>
  <si>
    <t>Leandro Tomaz</t>
  </si>
  <si>
    <t>VINHOS DO MUNDO IMPORTADORA DE BEBIDAS</t>
  </si>
  <si>
    <t>Porto Alegre/RS</t>
  </si>
  <si>
    <t>Gerente nacional comercial e estratégia de mercado</t>
  </si>
  <si>
    <t>Rodolfo Barboza Junior</t>
  </si>
  <si>
    <t>Nagem</t>
  </si>
  <si>
    <t>Recife</t>
  </si>
  <si>
    <t>Daniel Felicio</t>
  </si>
  <si>
    <t>CHIACCHIO INDUSTRIA DE EMBALAGENS S/A</t>
  </si>
  <si>
    <t>Plásticos / Borrachas</t>
  </si>
  <si>
    <t>Renato Mello Junior</t>
  </si>
  <si>
    <t>400.000,00 a.a</t>
  </si>
  <si>
    <t>Gerente comercial regional</t>
  </si>
  <si>
    <t>Renato</t>
  </si>
  <si>
    <t>Alfredo Ferreira e Silva</t>
  </si>
  <si>
    <t>Aços Nobre</t>
  </si>
  <si>
    <t>Recreio das Acácias, Ribeirão Preto</t>
  </si>
  <si>
    <t>Gestor executivo</t>
  </si>
  <si>
    <t>Alfredo</t>
  </si>
  <si>
    <t>Thales Mendes</t>
  </si>
  <si>
    <t>Carmen Steffens</t>
  </si>
  <si>
    <t>Residencial Jardim Califórnia, Franca</t>
  </si>
  <si>
    <t>Head inside sales</t>
  </si>
  <si>
    <t>E-commerce</t>
  </si>
  <si>
    <t>Thales</t>
  </si>
  <si>
    <t>Rafael Barrachi</t>
  </si>
  <si>
    <t>Santa Helena Indústria de Alimentos S/A</t>
  </si>
  <si>
    <t>Ribeirão Preto</t>
  </si>
  <si>
    <t>Gerente de pricing e revenue</t>
  </si>
  <si>
    <t>Gustavo Da Rocha Figueiredo</t>
  </si>
  <si>
    <t>Grendene S/A</t>
  </si>
  <si>
    <t>Rio de Janeiro</t>
  </si>
  <si>
    <t>Head de expansão</t>
  </si>
  <si>
    <t>Murilo Gasparotto Candido</t>
  </si>
  <si>
    <t>Gramado Parks</t>
  </si>
  <si>
    <t>Murilo</t>
  </si>
  <si>
    <t>Antonio Carlos Dal Pizzol</t>
  </si>
  <si>
    <t>Logbit Inteligência Comercial</t>
  </si>
  <si>
    <t>Eduardo Queiroz Santana</t>
  </si>
  <si>
    <t>Globality</t>
  </si>
  <si>
    <t>Marcio Trannin</t>
  </si>
  <si>
    <t>1,3 a 16 milhões/ano</t>
  </si>
  <si>
    <t>Marcio</t>
  </si>
  <si>
    <t>RUAN MENDES</t>
  </si>
  <si>
    <t>SOLINA BRASIL</t>
  </si>
  <si>
    <t>RUAN</t>
  </si>
  <si>
    <t>José Carlos Pereira</t>
  </si>
  <si>
    <t>BBN</t>
  </si>
  <si>
    <t>Tamara Diehl</t>
  </si>
  <si>
    <t>CONSULTORIA AUTÔNOMA</t>
  </si>
  <si>
    <t>Gerencia/ diretoria</t>
  </si>
  <si>
    <t>Tamara</t>
  </si>
  <si>
    <t>EDSON DA SILVA</t>
  </si>
  <si>
    <t>Clear Channel</t>
  </si>
  <si>
    <t>EDSON</t>
  </si>
  <si>
    <t>Marcos Mangi</t>
  </si>
  <si>
    <t>Top Trade App &amp; BI</t>
  </si>
  <si>
    <t>JOHNNY RABELLO</t>
  </si>
  <si>
    <t>JNR Consultoria e Serviços e Flat Consultoria Ltda</t>
  </si>
  <si>
    <t>JOHNNY</t>
  </si>
  <si>
    <t>Michele Laydner</t>
  </si>
  <si>
    <t>FANTÁSTICO ALIMENTOS LTDA</t>
  </si>
  <si>
    <t>Gerente de vendas - rj</t>
  </si>
  <si>
    <t>Michele</t>
  </si>
  <si>
    <t>ALEXANDRE BOTELHO</t>
  </si>
  <si>
    <t>Kiwify</t>
  </si>
  <si>
    <t>Sidnei Robson Medeiros</t>
  </si>
  <si>
    <t>Plural Representações</t>
  </si>
  <si>
    <t>Sidnei</t>
  </si>
  <si>
    <t>Diego Sandri Ramos</t>
  </si>
  <si>
    <t>Govermar - Consultoria em Governança Corporativa</t>
  </si>
  <si>
    <t>Rio do Sul</t>
  </si>
  <si>
    <t>Juliano Neves Horno</t>
  </si>
  <si>
    <t>Metromed</t>
  </si>
  <si>
    <t>Rommel Silveira</t>
  </si>
  <si>
    <t>Empório do Mármore</t>
  </si>
  <si>
    <t>Compras</t>
  </si>
  <si>
    <t>Rommel</t>
  </si>
  <si>
    <t>Decio Freo</t>
  </si>
  <si>
    <t>Cruzeiro do Sul</t>
  </si>
  <si>
    <t>Salvador</t>
  </si>
  <si>
    <t>Decio</t>
  </si>
  <si>
    <t>Márcio Lima Sampaio</t>
  </si>
  <si>
    <t>Itaú Unibanco</t>
  </si>
  <si>
    <t>Márcio</t>
  </si>
  <si>
    <t>Alexandre Lima Lira</t>
  </si>
  <si>
    <t>Consultor autônomo</t>
  </si>
  <si>
    <t>Karen Costa</t>
  </si>
  <si>
    <t>Santander</t>
  </si>
  <si>
    <t>Especialista</t>
  </si>
  <si>
    <t>Karen</t>
  </si>
  <si>
    <t>Daniel Burigo</t>
  </si>
  <si>
    <t>Betha Sistemas</t>
  </si>
  <si>
    <t>Consultor de vendas ii</t>
  </si>
  <si>
    <t>Daniel Silveira</t>
  </si>
  <si>
    <t>Grupo ALV</t>
  </si>
  <si>
    <t>Santa Felicidade, Curitiba</t>
  </si>
  <si>
    <t>Head commercial &amp; marketing</t>
  </si>
  <si>
    <t>Harry James Pacheco de Carvalho</t>
  </si>
  <si>
    <t>Navve Brand Publishers</t>
  </si>
  <si>
    <t>Diretor de performance</t>
  </si>
  <si>
    <t>Harry</t>
  </si>
  <si>
    <t>Eduardo Santos</t>
  </si>
  <si>
    <t>$15.000,00</t>
  </si>
  <si>
    <t>Santa Rita do Passa Quatro</t>
  </si>
  <si>
    <t>Luiz Pires de Moraes</t>
  </si>
  <si>
    <t>Shopee.com</t>
  </si>
  <si>
    <t>Santana de Parnaiba</t>
  </si>
  <si>
    <t>Head of business development</t>
  </si>
  <si>
    <t>CS/CX</t>
  </si>
  <si>
    <t>Alex Ribeiro dos Santos</t>
  </si>
  <si>
    <t>Enxuto Supermercados</t>
  </si>
  <si>
    <t>Santana de Parnaíba</t>
  </si>
  <si>
    <t>Chief comercial officer</t>
  </si>
  <si>
    <t>Hugo Henri</t>
  </si>
  <si>
    <t>Aramark</t>
  </si>
  <si>
    <t>Global head customer experience and innovation</t>
  </si>
  <si>
    <t>Serviços Gerais / Facilities / Segurança Privada</t>
  </si>
  <si>
    <t>Hugo</t>
  </si>
  <si>
    <t>Angel Rothen</t>
  </si>
  <si>
    <t>GARRETT MOTION Indústria Automotiva Ltda.</t>
  </si>
  <si>
    <t>Santo André</t>
  </si>
  <si>
    <t>Procurement director - américa do sul</t>
  </si>
  <si>
    <t>Angel</t>
  </si>
  <si>
    <t>Luiz Henrique Camello</t>
  </si>
  <si>
    <t>Grupo Petribu</t>
  </si>
  <si>
    <t>Santo Ângelo</t>
  </si>
  <si>
    <t>Rodrigo Lacivita de Goes Goes</t>
  </si>
  <si>
    <t>Gerdau</t>
  </si>
  <si>
    <t>Sao Bernardo do Campo</t>
  </si>
  <si>
    <t>Rodrigo</t>
  </si>
  <si>
    <t>Rogério Domingues da Silva</t>
  </si>
  <si>
    <t>Seventy Two</t>
  </si>
  <si>
    <t>São Bernardo do Campo</t>
  </si>
  <si>
    <t>Fundador &amp; diretor de marketing | seventy two</t>
  </si>
  <si>
    <t>Danilo Vilella</t>
  </si>
  <si>
    <t>Tecnocomp Tecnologia e Serviços</t>
  </si>
  <si>
    <t>Diretor de negocios</t>
  </si>
  <si>
    <t>Danilo</t>
  </si>
  <si>
    <t>José Roberto Stellato Godas</t>
  </si>
  <si>
    <t>JRG Serviços Administrativos Ltda</t>
  </si>
  <si>
    <t>São Bernardo do Campo - SP</t>
  </si>
  <si>
    <t>Diretor geral - proprietário</t>
  </si>
  <si>
    <t>Adriano Hungarô</t>
  </si>
  <si>
    <t>GRAND COMMERCE LTDA</t>
  </si>
  <si>
    <t>São José</t>
  </si>
  <si>
    <t>Diretor comercial, novos negócios e projetos</t>
  </si>
  <si>
    <t>Carlos Duarte</t>
  </si>
  <si>
    <t>Livoltek S/aA</t>
  </si>
  <si>
    <t>Diogo Lopes Ribeiro</t>
  </si>
  <si>
    <t>Intelbras SA</t>
  </si>
  <si>
    <t>Diogo</t>
  </si>
  <si>
    <t>Marco Garzin</t>
  </si>
  <si>
    <t>Almeida Junior e maior</t>
  </si>
  <si>
    <t>Líder do mercado</t>
  </si>
  <si>
    <t>Novos Negócios</t>
  </si>
  <si>
    <t>Marco</t>
  </si>
  <si>
    <t>RAFAEL Bevacqua</t>
  </si>
  <si>
    <t>Banco Bmg</t>
  </si>
  <si>
    <t>Executivo de negócios</t>
  </si>
  <si>
    <t>RAFAEL</t>
  </si>
  <si>
    <t>JOANA SILVEIRA</t>
  </si>
  <si>
    <t>Gerência, compras, viagens e principalmente o marketing, fazendo</t>
  </si>
  <si>
    <t>JOANA</t>
  </si>
  <si>
    <t>Heverton Souza</t>
  </si>
  <si>
    <t>Gerente estadual sênior</t>
  </si>
  <si>
    <t>Heverton</t>
  </si>
  <si>
    <t>Andrés Schulz</t>
  </si>
  <si>
    <t>Plásticos MB</t>
  </si>
  <si>
    <t>Andrés</t>
  </si>
  <si>
    <t>EZEQUIEL JUNIOR</t>
  </si>
  <si>
    <t>Sodimac</t>
  </si>
  <si>
    <t>São José dos Campos</t>
  </si>
  <si>
    <t>Head b2b</t>
  </si>
  <si>
    <t>EZEQUIEL</t>
  </si>
  <si>
    <t>Luciana Lorena</t>
  </si>
  <si>
    <t>CCO</t>
  </si>
  <si>
    <t>Consultoria de gestão de irrigação de alta performance</t>
  </si>
  <si>
    <t>Projetos e PMO</t>
  </si>
  <si>
    <t>Luciana</t>
  </si>
  <si>
    <t>Carlos Alberto BATISTA DE NAZARE JUNIOR</t>
  </si>
  <si>
    <t>BRF Pet</t>
  </si>
  <si>
    <t>Head de vendas</t>
  </si>
  <si>
    <t>Wagner Andolfato Sousa</t>
  </si>
  <si>
    <t>Andra Engenharia</t>
  </si>
  <si>
    <t>São José dos Pinhais</t>
  </si>
  <si>
    <t>Diretor técnico</t>
  </si>
  <si>
    <t>Produção e Manufatura</t>
  </si>
  <si>
    <t>Adriano Neto</t>
  </si>
  <si>
    <t>METALÚRGICA NUNES</t>
  </si>
  <si>
    <t>São Leopoldo</t>
  </si>
  <si>
    <t>Erick Bastos</t>
  </si>
  <si>
    <t>Equatorial Energia Pará</t>
  </si>
  <si>
    <t>São Luís</t>
  </si>
  <si>
    <t>Executivo tático de processos comerciais</t>
  </si>
  <si>
    <t>Erick</t>
  </si>
  <si>
    <t>Ricardo Colla</t>
  </si>
  <si>
    <t>Ashland Comércio de Especialidades Químicas do Brasil Ltda</t>
  </si>
  <si>
    <t>Sao Paulo</t>
  </si>
  <si>
    <t>Gerente comercial senior</t>
  </si>
  <si>
    <t>Clovis Kitahara</t>
  </si>
  <si>
    <t>FAVE distribuidora</t>
  </si>
  <si>
    <t>Gerente de marketing e vendas</t>
  </si>
  <si>
    <t>Clovis</t>
  </si>
  <si>
    <t>EDSON SAGGIORATO</t>
  </si>
  <si>
    <t>Inteldesk</t>
  </si>
  <si>
    <t>Ricardo Almeida</t>
  </si>
  <si>
    <t>Grupo Viasul</t>
  </si>
  <si>
    <t>Superintendente administrativo</t>
  </si>
  <si>
    <t>Bruno S¨¨Daga</t>
  </si>
  <si>
    <t>Seedtag</t>
  </si>
  <si>
    <t>Head of performance brazil</t>
  </si>
  <si>
    <t>Renato Simões Strumiello</t>
  </si>
  <si>
    <t>GOCIL</t>
  </si>
  <si>
    <t>Segurança e serviços</t>
  </si>
  <si>
    <t>Marcelo Ozelin de Souza Carmo</t>
  </si>
  <si>
    <t>Goodyear do Brasil</t>
  </si>
  <si>
    <t>Osvaldo Hirama</t>
  </si>
  <si>
    <t>Suplean Tecnologia</t>
  </si>
  <si>
    <t>Glauco Freire Franco</t>
  </si>
  <si>
    <t>VIASAT BRASIL SERVIÇOS DE COMUNICAÇÕES LTDA.</t>
  </si>
  <si>
    <t>National sales and distribution manager</t>
  </si>
  <si>
    <t>Glauco</t>
  </si>
  <si>
    <t>Rogério Nascimento</t>
  </si>
  <si>
    <t>Rafael Rübensam</t>
  </si>
  <si>
    <t>Itagres Revestimentos Cerâmicos SA</t>
  </si>
  <si>
    <t>Ronald Carvalho Dutton</t>
  </si>
  <si>
    <t>RCD Consultoria</t>
  </si>
  <si>
    <t>Managing partner</t>
  </si>
  <si>
    <t>Ronald</t>
  </si>
  <si>
    <t>Walter Jose Lopes da Silva de Araujo</t>
  </si>
  <si>
    <t>SwitchSales</t>
  </si>
  <si>
    <t>Diretor comercial latam</t>
  </si>
  <si>
    <t>Walter</t>
  </si>
  <si>
    <t>Carlos Barbieri</t>
  </si>
  <si>
    <t>Cronoslog Entregas Urgentes Ltda</t>
  </si>
  <si>
    <t>Diretor comercial e operacional</t>
  </si>
  <si>
    <t>Marca/Branding</t>
  </si>
  <si>
    <t>Rafael Correa</t>
  </si>
  <si>
    <t>Grupo Tigre</t>
  </si>
  <si>
    <t>Gerente regional de vendas</t>
  </si>
  <si>
    <t>Sidney Sato</t>
  </si>
  <si>
    <t>Nitto Denko</t>
  </si>
  <si>
    <t>Diretor de vendas</t>
  </si>
  <si>
    <t>Sidney</t>
  </si>
  <si>
    <t>Joao Paulo Mota</t>
  </si>
  <si>
    <t>SOLVI</t>
  </si>
  <si>
    <t>Superintendente de negócios</t>
  </si>
  <si>
    <t>Joao</t>
  </si>
  <si>
    <t>Luís Falguera</t>
  </si>
  <si>
    <t>Gilbarco Veeder-Root</t>
  </si>
  <si>
    <t>Luís</t>
  </si>
  <si>
    <t>Glauco Gabriel</t>
  </si>
  <si>
    <t>Florpinus Ind Química</t>
  </si>
  <si>
    <t>Renato Caires</t>
  </si>
  <si>
    <t>Dexco</t>
  </si>
  <si>
    <t>Head comercial - canal engenharia nacional - dexco</t>
  </si>
  <si>
    <t>Mário Kneip</t>
  </si>
  <si>
    <t>BRF</t>
  </si>
  <si>
    <t>Gerente executivo nacional</t>
  </si>
  <si>
    <t>Mário</t>
  </si>
  <si>
    <t>Gustavo Silveira Carvalho</t>
  </si>
  <si>
    <t>SteviaSoul</t>
  </si>
  <si>
    <t>Diretor de unidade de negócios</t>
  </si>
  <si>
    <t>Mauricio Tagliari</t>
  </si>
  <si>
    <t>Pátria Investimento - Dellys</t>
  </si>
  <si>
    <t>Andréa Cardilli</t>
  </si>
  <si>
    <t>MRV Engenharia</t>
  </si>
  <si>
    <t>Gestor desenvolvimento imobiliario</t>
  </si>
  <si>
    <t>Bruno Vidal Tavares</t>
  </si>
  <si>
    <t>XIPP Benefícios</t>
  </si>
  <si>
    <t>Fernando Henrique Gleriano</t>
  </si>
  <si>
    <t>Legrand</t>
  </si>
  <si>
    <t>Marcelo de Oliveira Cardoso</t>
  </si>
  <si>
    <t>SINQIA S/A</t>
  </si>
  <si>
    <t>Gestor</t>
  </si>
  <si>
    <t>Marcos Lima</t>
  </si>
  <si>
    <t>MRF/ LHR FOODS LTDA</t>
  </si>
  <si>
    <t>Thiago Savoldi</t>
  </si>
  <si>
    <t>cri.ATIVO Studio</t>
  </si>
  <si>
    <t>Diretor de marketing</t>
  </si>
  <si>
    <t>Henrique Rodrigues</t>
  </si>
  <si>
    <t>Grupo DPSP</t>
  </si>
  <si>
    <t>Diretor | gerente executivo de engenharia &amp; expansão | head de expansão</t>
  </si>
  <si>
    <t>Henrique</t>
  </si>
  <si>
    <t>Christian Mina</t>
  </si>
  <si>
    <t>NEOWRK SISTEMAS INTELIGENTES S.A.</t>
  </si>
  <si>
    <t>MARCO VALERIO DE ANTUNES</t>
  </si>
  <si>
    <t>MVA Business Consulting</t>
  </si>
  <si>
    <t>MARCO</t>
  </si>
  <si>
    <t>Simone Corrêa de Sousa</t>
  </si>
  <si>
    <t>Portobello Shop</t>
  </si>
  <si>
    <t>Commercial director | franchises</t>
  </si>
  <si>
    <t>Simone</t>
  </si>
  <si>
    <t>Bruno Beneduzzi</t>
  </si>
  <si>
    <t>Cial Dun &amp; Brandstreet</t>
  </si>
  <si>
    <t>Adevilson Barbosa Prates</t>
  </si>
  <si>
    <t>Adevilson</t>
  </si>
  <si>
    <t>Pedro Almino de Queiroz Junior</t>
  </si>
  <si>
    <t>Puratos do Brasil</t>
  </si>
  <si>
    <t>Gustavo Figueiredo Rodrigues da Cunha</t>
  </si>
  <si>
    <t>Castanhal Ltda</t>
  </si>
  <si>
    <t>Roberto Martins Ferreira</t>
  </si>
  <si>
    <t>Grupo Rabobank</t>
  </si>
  <si>
    <t>Head of insurance - latam</t>
  </si>
  <si>
    <t>Roberto</t>
  </si>
  <si>
    <t>Luís Bertazi</t>
  </si>
  <si>
    <t>Orbicred - Orbiz Capital Group</t>
  </si>
  <si>
    <t>Commercial director</t>
  </si>
  <si>
    <t>RENATO TEODORO GOEBEL</t>
  </si>
  <si>
    <t>www.braskem.com</t>
  </si>
  <si>
    <t>Lider comercial (country manager), desenvolvimento de negócios e reciclagem química, singapore</t>
  </si>
  <si>
    <t>RENATO</t>
  </si>
  <si>
    <t>Marcelo Cunha Tréz</t>
  </si>
  <si>
    <t>ADM do Brasil</t>
  </si>
  <si>
    <t>Diretor sênior de vendas – nutrição animal latam sul</t>
  </si>
  <si>
    <t>Paulo Cimerman</t>
  </si>
  <si>
    <t>PRESENTES LTDA.</t>
  </si>
  <si>
    <t>André Corrêa</t>
  </si>
  <si>
    <t>TRADEMASTER PARTICIPAÇÕES S.A.</t>
  </si>
  <si>
    <t>Diretor geral de vendas</t>
  </si>
  <si>
    <t>Luiz Tanisho</t>
  </si>
  <si>
    <t>Rakuten Advertising</t>
  </si>
  <si>
    <t>Vice presidente</t>
  </si>
  <si>
    <t>Vinicius Balogh</t>
  </si>
  <si>
    <t>BLENDPAPER - BP SECURITY</t>
  </si>
  <si>
    <t>Diretor de operações comerciais</t>
  </si>
  <si>
    <t>Patrick Rosat</t>
  </si>
  <si>
    <t>Newell Brands</t>
  </si>
  <si>
    <t>Diretor geral latam</t>
  </si>
  <si>
    <t>Patrick</t>
  </si>
  <si>
    <t>Claudia Harada</t>
  </si>
  <si>
    <t>GOL LINHAS AÉREAS</t>
  </si>
  <si>
    <t>Coordenadora comercial</t>
  </si>
  <si>
    <t>Claudia</t>
  </si>
  <si>
    <t>Daniel Leão</t>
  </si>
  <si>
    <t>Wella Company</t>
  </si>
  <si>
    <t>Helena Garcia de Gracia</t>
  </si>
  <si>
    <t>Symrise</t>
  </si>
  <si>
    <t>Vice presidente de vendas</t>
  </si>
  <si>
    <t>Helena</t>
  </si>
  <si>
    <t>Nilton Brucoli Filho</t>
  </si>
  <si>
    <t>BASF S.A.</t>
  </si>
  <si>
    <t>Gerente sênior comercial</t>
  </si>
  <si>
    <t>Nilton</t>
  </si>
  <si>
    <t>Fernando Contessoto</t>
  </si>
  <si>
    <t>Grupo Passalacqua</t>
  </si>
  <si>
    <t>Lucio Daniel Junior</t>
  </si>
  <si>
    <t>Flexmundi Consultoria e Serviços Ltda</t>
  </si>
  <si>
    <t>Lucio</t>
  </si>
  <si>
    <t>Rafael Portella</t>
  </si>
  <si>
    <t>Macfor</t>
  </si>
  <si>
    <t>RICARDO TAKAHASHI</t>
  </si>
  <si>
    <t>act Digital</t>
  </si>
  <si>
    <t>RICARDO</t>
  </si>
  <si>
    <t>Vanessa de Oliveira</t>
  </si>
  <si>
    <t>G.A.C Group</t>
  </si>
  <si>
    <t>Vanessa</t>
  </si>
  <si>
    <t>Érica Navarro Costa</t>
  </si>
  <si>
    <t>Não se aplica</t>
  </si>
  <si>
    <t>Gerente executivo</t>
  </si>
  <si>
    <t>Érica</t>
  </si>
  <si>
    <t>Fabio Artoni</t>
  </si>
  <si>
    <t>Callamarys ind de cosméticos e saneantes</t>
  </si>
  <si>
    <t>Mauri Fogaça</t>
  </si>
  <si>
    <t>Sodrugestivo</t>
  </si>
  <si>
    <t>Gerente do complexo de grãos e indústria</t>
  </si>
  <si>
    <t>Mauri</t>
  </si>
  <si>
    <t>Luiz Antunes</t>
  </si>
  <si>
    <t>FCamara Consulting &amp; Training</t>
  </si>
  <si>
    <t>Corporate innovation &amp; digital solutions partner</t>
  </si>
  <si>
    <t>Joao Roberto Olivieri Ximenes</t>
  </si>
  <si>
    <t>Goop</t>
  </si>
  <si>
    <t>Guilherme de Menezes Vaz de Mello</t>
  </si>
  <si>
    <t>Hilti do Brasil</t>
  </si>
  <si>
    <t>Senior account manager</t>
  </si>
  <si>
    <t>Agostinho Moreira Filho</t>
  </si>
  <si>
    <t>GR Distribuidora de Materiais Ltda</t>
  </si>
  <si>
    <t>Agostinho</t>
  </si>
  <si>
    <t>Thiago Marchi</t>
  </si>
  <si>
    <t>All Digital Agency</t>
  </si>
  <si>
    <t>Wagner Rimkus</t>
  </si>
  <si>
    <t>SALUTE EMBALAGENS</t>
  </si>
  <si>
    <t>Executivo de expansão</t>
  </si>
  <si>
    <t>Ricardo Wagner Faria</t>
  </si>
  <si>
    <t>Bright comercial S/A</t>
  </si>
  <si>
    <t>Itiel Loureiro Nascimento</t>
  </si>
  <si>
    <t>Rezult</t>
  </si>
  <si>
    <t>Diretor exeutivo</t>
  </si>
  <si>
    <t>Itiel</t>
  </si>
  <si>
    <t>Douglas Rodrigues Dos Santos</t>
  </si>
  <si>
    <t>CRUSOE FOODS</t>
  </si>
  <si>
    <t>Douglas</t>
  </si>
  <si>
    <t>Rodrigo César Pereira</t>
  </si>
  <si>
    <t>Loft</t>
  </si>
  <si>
    <t>Gerente jurídico</t>
  </si>
  <si>
    <t>Carlos Guillermo Segura De La Torre</t>
  </si>
  <si>
    <t>Exitlag</t>
  </si>
  <si>
    <t>Sales manager b2b</t>
  </si>
  <si>
    <t>Orlando De Oliveira</t>
  </si>
  <si>
    <t>Confidencial</t>
  </si>
  <si>
    <t>Orlando</t>
  </si>
  <si>
    <t>Rogério Martins</t>
  </si>
  <si>
    <t>Loxam Degraus</t>
  </si>
  <si>
    <t>Sales head</t>
  </si>
  <si>
    <t>Elói Mezzomo</t>
  </si>
  <si>
    <t>Zaaz Telecom</t>
  </si>
  <si>
    <t>Elói</t>
  </si>
  <si>
    <t>Jean Carlos Cavaleiro</t>
  </si>
  <si>
    <t>Universidade Cruzeiro do Sul</t>
  </si>
  <si>
    <t>Gestor educacional, coordenador de cursos</t>
  </si>
  <si>
    <t>Eduardo Salvagnini</t>
  </si>
  <si>
    <t>Trade Consultoria LTDA</t>
  </si>
  <si>
    <t>Partner</t>
  </si>
  <si>
    <t>CARLOS DOMINGOS URSOLINO DUARTE</t>
  </si>
  <si>
    <t>REDARBOR BRASIL</t>
  </si>
  <si>
    <t>Gerente de marketing b2c e b2b</t>
  </si>
  <si>
    <t>CARLOS</t>
  </si>
  <si>
    <t>Marcelo Tejada Ricardo Martines</t>
  </si>
  <si>
    <t>METALIFE</t>
  </si>
  <si>
    <t>Diretor de produtos / comercial e parcerias</t>
  </si>
  <si>
    <t>Wagner Tavares Dos Santos</t>
  </si>
  <si>
    <t>Casa Tognini</t>
  </si>
  <si>
    <t>Denise Nascimento</t>
  </si>
  <si>
    <t>Osda Solar</t>
  </si>
  <si>
    <t>Country manager</t>
  </si>
  <si>
    <t>Denise</t>
  </si>
  <si>
    <t>Rogerio Flores</t>
  </si>
  <si>
    <t>ShopGrupo S.A</t>
  </si>
  <si>
    <t>Rogerio</t>
  </si>
  <si>
    <t>Donald Leite</t>
  </si>
  <si>
    <t>CLARO S.A</t>
  </si>
  <si>
    <t>Gerente regional de planejamento e performance</t>
  </si>
  <si>
    <t>Donald</t>
  </si>
  <si>
    <t>William Busnardo Montá</t>
  </si>
  <si>
    <t>Mills - Locação de Equipamentos e Plataforma Elevatóri</t>
  </si>
  <si>
    <t>Consultor de estratégias diretivas</t>
  </si>
  <si>
    <t>William</t>
  </si>
  <si>
    <t>Samir Adum</t>
  </si>
  <si>
    <t>SOLÓTICA VISION CARE</t>
  </si>
  <si>
    <t>Head of national sales</t>
  </si>
  <si>
    <t>Samir</t>
  </si>
  <si>
    <t>Renato Leao da Costa</t>
  </si>
  <si>
    <t>EMS Pharma</t>
  </si>
  <si>
    <t>Alexandre Delmanto</t>
  </si>
  <si>
    <t>Eduardo Portugal Menezes</t>
  </si>
  <si>
    <t>NEOMERA SERIOUS NETWORK INTELLIGENCE</t>
  </si>
  <si>
    <t>São Paulo/SP</t>
  </si>
  <si>
    <t>Jorge Junqueira Maluf</t>
  </si>
  <si>
    <t>Grupo Legrand</t>
  </si>
  <si>
    <t>São Pedro</t>
  </si>
  <si>
    <t>Ana Homem</t>
  </si>
  <si>
    <t>Bergesch e Martin Lawyers</t>
  </si>
  <si>
    <t>Sapiranga</t>
  </si>
  <si>
    <t>Head of marketing</t>
  </si>
  <si>
    <t>Maurício Gasperini</t>
  </si>
  <si>
    <t>Cyklop Global Packaging Solutions</t>
  </si>
  <si>
    <t>SBCampo, São Paulo</t>
  </si>
  <si>
    <t>Maurício</t>
  </si>
  <si>
    <t>Álvaro Carvalho</t>
  </si>
  <si>
    <t>CLT 9247,00/ plano saúde estendido p família/ bonificação sobre produção/ 640,00 de alimentação</t>
  </si>
  <si>
    <t>Gerente sênior de logística</t>
  </si>
  <si>
    <t>Álvaro</t>
  </si>
  <si>
    <t>Leonardo da Silva Medeiros</t>
  </si>
  <si>
    <t>NEOOH SA</t>
  </si>
  <si>
    <t>Sorocaba</t>
  </si>
  <si>
    <t>Head of treasury, accounts payable and accounts receivable</t>
  </si>
  <si>
    <t>RODRIGO BRAGA DE SOUZA</t>
  </si>
  <si>
    <t>BRAGHA CONSULTORIA</t>
  </si>
  <si>
    <t>RODRIGO</t>
  </si>
  <si>
    <t>Ronaldo Pinho</t>
  </si>
  <si>
    <t>Vivensis Care Tecnology SA</t>
  </si>
  <si>
    <t>Taboão da Serra</t>
  </si>
  <si>
    <t>Márcio Lara</t>
  </si>
  <si>
    <t>Transplantas Garden</t>
  </si>
  <si>
    <t>Taguatinga</t>
  </si>
  <si>
    <t>Tamer Mogawer</t>
  </si>
  <si>
    <t>GE Vernova</t>
  </si>
  <si>
    <t>Taubaté</t>
  </si>
  <si>
    <t>Latin america commercial operations director</t>
  </si>
  <si>
    <t>Tamer</t>
  </si>
  <si>
    <t>Sergio dos Santos Junior</t>
  </si>
  <si>
    <t>Unifique S.A</t>
  </si>
  <si>
    <t>Timbó</t>
  </si>
  <si>
    <t>Gerente de planejamento e mercado</t>
  </si>
  <si>
    <t>Sergio</t>
  </si>
  <si>
    <t>Gustavo Miolo</t>
  </si>
  <si>
    <t>Tipi, Caxias do Sul</t>
  </si>
  <si>
    <t>Diretor de unidade de negócio na soprano</t>
  </si>
  <si>
    <t>Gustavo Ferrari Wolowski</t>
  </si>
  <si>
    <t>SEYSES BRASIL LTDA</t>
  </si>
  <si>
    <t>Trindade, Florianópolis</t>
  </si>
  <si>
    <t>Evandro Menezes</t>
  </si>
  <si>
    <t>Ultraclin</t>
  </si>
  <si>
    <t>Wellington Monte</t>
  </si>
  <si>
    <t>Ateky Internet</t>
  </si>
  <si>
    <t>Tubarão</t>
  </si>
  <si>
    <t>Coordenador comercial</t>
  </si>
  <si>
    <t>Wellington</t>
  </si>
  <si>
    <t>Priscila Rech Fraga Perazzolo</t>
  </si>
  <si>
    <t>Disponibilidade imediata</t>
  </si>
  <si>
    <t>Marcel Schuvartz</t>
  </si>
  <si>
    <t>Química Maragno Ltda</t>
  </si>
  <si>
    <t>Turvo</t>
  </si>
  <si>
    <t>Gestão</t>
  </si>
  <si>
    <t>Marcel</t>
  </si>
  <si>
    <t>VELOEL JUNIOR</t>
  </si>
  <si>
    <t>Diretor Comercial</t>
  </si>
  <si>
    <t>Uberlandia</t>
  </si>
  <si>
    <t>VELOEL</t>
  </si>
  <si>
    <t>Luiz Henrique Junqueira Rezende Rodrigues</t>
  </si>
  <si>
    <t>MG</t>
  </si>
  <si>
    <t>Uberlândia (muito me interessa mudar de cidade)</t>
  </si>
  <si>
    <t>Empresário</t>
  </si>
  <si>
    <t>FILIPE SALVIANO</t>
  </si>
  <si>
    <t>FS Maquinas</t>
  </si>
  <si>
    <t>Vacaria</t>
  </si>
  <si>
    <t>FILIPE</t>
  </si>
  <si>
    <t>Rogério Giestas de Oliveira</t>
  </si>
  <si>
    <t>Grupo Comolatti - saí em agosto</t>
  </si>
  <si>
    <t>Valinhos</t>
  </si>
  <si>
    <t>Daniel Ribeiro</t>
  </si>
  <si>
    <t>G c nacional</t>
  </si>
  <si>
    <t>Lincoln Rebellato</t>
  </si>
  <si>
    <t>Microtherm Sentronic GmbH – Gerente Regional América Latina</t>
  </si>
  <si>
    <t>Lincoln</t>
  </si>
  <si>
    <t>Alexandre Lunardini</t>
  </si>
  <si>
    <t>WDM PUMPS BRASIL</t>
  </si>
  <si>
    <t>Vargem Grande do Sul</t>
  </si>
  <si>
    <t>Reginaldo Queiroz Junior</t>
  </si>
  <si>
    <t>Laser Company</t>
  </si>
  <si>
    <t>Vila Mascote</t>
  </si>
  <si>
    <t>Reginaldo</t>
  </si>
  <si>
    <t>Jorge Lucas Netto Lucas Netto</t>
  </si>
  <si>
    <t>GRUPO RIALMA S.A.</t>
  </si>
  <si>
    <t>Vila Velha</t>
  </si>
  <si>
    <t>Operational director</t>
  </si>
  <si>
    <t>Gestão de Obras</t>
  </si>
  <si>
    <t>Alexandre Bado</t>
  </si>
  <si>
    <t>Sanofi</t>
  </si>
  <si>
    <t>Gerente de vendas regional</t>
  </si>
  <si>
    <t>Djinane Teodoro</t>
  </si>
  <si>
    <t>PRIME 8 Distribuidor</t>
  </si>
  <si>
    <t>Djinane</t>
  </si>
  <si>
    <t>Fídias Martins</t>
  </si>
  <si>
    <t>Gerente de o&amp;m</t>
  </si>
  <si>
    <t>Fídias</t>
  </si>
  <si>
    <t>Alessandra Puccini Diniz</t>
  </si>
  <si>
    <t>CEMPRE</t>
  </si>
  <si>
    <t>Gerente executiva</t>
  </si>
  <si>
    <t>Alessandra</t>
  </si>
  <si>
    <t>PASCOAL ALBANO</t>
  </si>
  <si>
    <t>Marest Distribuidora Matcon</t>
  </si>
  <si>
    <t>Diretoria de operações e comercial</t>
  </si>
  <si>
    <t>PASCOAL</t>
  </si>
  <si>
    <t>Samantha Dias</t>
  </si>
  <si>
    <t>FIBER-CITRUS</t>
  </si>
  <si>
    <t>Diretora global de vendas &amp; marketing. (cargo pj)</t>
  </si>
  <si>
    <t>Samantha</t>
  </si>
  <si>
    <t>EDUARDO SOUSA</t>
  </si>
  <si>
    <t>Marilan</t>
  </si>
  <si>
    <t>Rosana Herbst</t>
  </si>
  <si>
    <t>Em transicao de carreira (ex-GM)</t>
  </si>
  <si>
    <t>Diretor executivo - planejamento estrategico e desenvolvimento de projetos</t>
  </si>
  <si>
    <t>Rosana</t>
  </si>
  <si>
    <t>Sven Malunat</t>
  </si>
  <si>
    <t>E EXP. LTDA</t>
  </si>
  <si>
    <t>Diretor geral e comercial</t>
  </si>
  <si>
    <t>Sven</t>
  </si>
  <si>
    <t>Noelia Morgades</t>
  </si>
  <si>
    <t>Empresa nacional</t>
  </si>
  <si>
    <t>Comercial &amp; marketing</t>
  </si>
  <si>
    <t>Noelia</t>
  </si>
  <si>
    <t>Marcos Fonseca</t>
  </si>
  <si>
    <t>Seara Alimentos</t>
  </si>
  <si>
    <t>Regional minas gerais</t>
  </si>
  <si>
    <t>Sheila Albuquerque Wiethorn</t>
  </si>
  <si>
    <t>Sherwin Williams</t>
  </si>
  <si>
    <t>Executiva comercial</t>
  </si>
  <si>
    <t>Sheila</t>
  </si>
  <si>
    <t>Weberton Santos</t>
  </si>
  <si>
    <t>Saint-Gobain Construction</t>
  </si>
  <si>
    <t>Gerente comercial e especificacao</t>
  </si>
  <si>
    <t>Weberton</t>
  </si>
  <si>
    <t>FLAVIO GONCALVES</t>
  </si>
  <si>
    <t>Tax Co</t>
  </si>
  <si>
    <t>Closer</t>
  </si>
  <si>
    <t>FLAVIO</t>
  </si>
  <si>
    <t>Renato Augusto Lima</t>
  </si>
  <si>
    <t>ALTO VALE</t>
  </si>
  <si>
    <t>Head</t>
  </si>
  <si>
    <t>CAROLINA DE SOUSA</t>
  </si>
  <si>
    <t>Online Impulse</t>
  </si>
  <si>
    <t>Entrepreneur</t>
  </si>
  <si>
    <t>CAROLINA</t>
  </si>
  <si>
    <t>GELSON R. C. ALBERTON</t>
  </si>
  <si>
    <t>GRUPO OBENAUS</t>
  </si>
  <si>
    <t>Trader exportações</t>
  </si>
  <si>
    <t>GELSON</t>
  </si>
  <si>
    <t>Carliza Sena</t>
  </si>
  <si>
    <t>Eletrobras</t>
  </si>
  <si>
    <t>Engenheiro</t>
  </si>
  <si>
    <t>Carliza</t>
  </si>
  <si>
    <t>Ricardo Cunha</t>
  </si>
  <si>
    <t>Transportadora Plimor</t>
  </si>
  <si>
    <t>Gestor filial guarulhos</t>
  </si>
  <si>
    <t>Mia hazanov</t>
  </si>
  <si>
    <t>Consultant</t>
  </si>
  <si>
    <t>Client relations specialist</t>
  </si>
  <si>
    <t>Mia</t>
  </si>
  <si>
    <t>Grasiela Tavares</t>
  </si>
  <si>
    <t>Grasiela</t>
  </si>
  <si>
    <t>Daniel da Silva</t>
  </si>
  <si>
    <t>Salário mensal, plano de saúdde, odontológico, seguro de vida, VR, PRL</t>
  </si>
  <si>
    <t>Project manager</t>
  </si>
  <si>
    <t>JEFFERSON MARMENTINI DA SILVA</t>
  </si>
  <si>
    <t>Nellore cerca Eletrica Rural</t>
  </si>
  <si>
    <t>JEFFERSON</t>
  </si>
  <si>
    <t>JAN ZACHER</t>
  </si>
  <si>
    <t>Diretor operacional</t>
  </si>
  <si>
    <t>JAN</t>
  </si>
  <si>
    <t>Rodolfo Ferreira Ramos</t>
  </si>
  <si>
    <t>Wellmix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</si>
</sst>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&quot;R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hopee.com" TargetMode="External"/><Relationship Id="rId2" Type="http://schemas.openxmlformats.org/officeDocument/2006/relationships/hyperlink" Target="http://www.braskem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208473.0</v>
      </c>
      <c r="B2" s="1" t="s">
        <v>26</v>
      </c>
      <c r="C2" s="1" t="s">
        <v>27</v>
      </c>
      <c r="D2" s="1" t="s">
        <v>28</v>
      </c>
      <c r="E2" s="2">
        <v>35000.0</v>
      </c>
      <c r="F2" s="2">
        <v>35000.0</v>
      </c>
      <c r="G2" s="1" t="s">
        <v>29</v>
      </c>
      <c r="H2" s="1" t="s">
        <v>30</v>
      </c>
      <c r="I2" s="1" t="s">
        <v>31</v>
      </c>
      <c r="J2" s="1" t="s">
        <v>31</v>
      </c>
      <c r="K2" s="3"/>
      <c r="L2" s="1" t="s">
        <v>32</v>
      </c>
      <c r="M2" s="1" t="s">
        <v>33</v>
      </c>
      <c r="N2" s="1">
        <v>33000.0</v>
      </c>
      <c r="O2" s="1" t="s">
        <v>34</v>
      </c>
      <c r="P2" s="1" t="s">
        <v>35</v>
      </c>
      <c r="Q2" s="1" t="s">
        <v>36</v>
      </c>
      <c r="R2" s="1" t="s">
        <v>35</v>
      </c>
      <c r="S2" s="4" t="s">
        <v>37</v>
      </c>
      <c r="T2" s="1" t="s">
        <v>38</v>
      </c>
      <c r="U2" s="5">
        <f t="shared" ref="U2:U13" si="1">(F2/E2)-1</f>
        <v>0</v>
      </c>
      <c r="V2" s="5">
        <f t="shared" ref="V2:V13" si="2">ROUNDDOWN(N2/E2,0)</f>
        <v>0</v>
      </c>
      <c r="W2" s="6">
        <f t="shared" ref="W2:W13" si="3">13.33*E2+N2</f>
        <v>499550</v>
      </c>
      <c r="X2" s="6" t="str">
        <f t="shared" ref="X2:X5" si="4">IF(W2&lt;100000,"abaixo de R$100.000",IF(AND(W2&gt;=100000,W2&lt;200000),"R$100.000 - R$200.000",IF(AND(W2&gt;=200000,W2&lt;300000),"R$200.000 - R$300.000",IF(AND(W2&gt;=300000,W2&lt;400000),"R$300.000 - R$400.000",IF(AND(W2&gt;=400000,W2&lt;500000),"R$400.000 - R$500.000",IF(AND(W2&gt;=500000,W2&lt;600000),"R$500.000 - R$600.000",IF(AND(W2&gt;=600000,W2&lt;700000),"R$600.000 - R$700.000",IF(AND(W2&gt;=700000,W2&lt;800000),"R$700.000 - R$800.000",IF(AND(W2&gt;=800000,W2&lt;900000),"R$800.000 - R$900.000","Superior a R$900.000")))))))))</f>
        <v>R$400.000 - R$500.000</v>
      </c>
      <c r="Y2" s="6">
        <f t="shared" ref="Y2:Y13" si="5">W2+(W2*U2)</f>
        <v>499550</v>
      </c>
      <c r="Z2" s="3" t="str">
        <f t="shared" ref="Z2:Z5" si="6">IF(Y2&lt;100000,"abaixo de R$100.000",IF(AND(Y2&gt;=100000,Y2&lt;200000),"R$100.000 - R$200.000",IF(AND(Y2&gt;=200000,Y2&lt;300000),"R$200.000 - R$300.000",IF(AND(Y2&gt;=300000,Y2&lt;400000),"R$300.000 - R$400.000",IF(AND(Y2&gt;=400000,Y2&lt;500000),"R$400.000 - R$500.000",IF(AND(Y2&gt;=500000,Y2&lt;600000),"R$500.000 - R$600.000",IF(AND(Y2&gt;=600000,Y2&lt;700000),"R$600.000 - R$700.000",IF(AND(Y2&gt;=700000,Y2&lt;800000),"R$700.000 - R$800.000",IF(AND(Y2&gt;=800000,Y2&lt;900000),"R$800.000 - R$900.000","Superior a R$900.000")))))))))</f>
        <v>R$400.000 - R$500.000</v>
      </c>
    </row>
    <row r="3">
      <c r="A3" s="1">
        <v>113638.0</v>
      </c>
      <c r="B3" s="1" t="s">
        <v>39</v>
      </c>
      <c r="C3" s="1" t="s">
        <v>40</v>
      </c>
      <c r="D3" s="1" t="s">
        <v>28</v>
      </c>
      <c r="E3" s="2">
        <v>40000.0</v>
      </c>
      <c r="F3" s="2">
        <v>40000.0</v>
      </c>
      <c r="G3" s="1" t="s">
        <v>29</v>
      </c>
      <c r="H3" s="1" t="s">
        <v>41</v>
      </c>
      <c r="I3" s="1" t="s">
        <v>42</v>
      </c>
      <c r="J3" s="1" t="s">
        <v>31</v>
      </c>
      <c r="K3" s="3"/>
      <c r="L3" s="1" t="s">
        <v>43</v>
      </c>
      <c r="M3" s="1" t="s">
        <v>33</v>
      </c>
      <c r="N3" s="1">
        <v>233000.0</v>
      </c>
      <c r="O3" s="1" t="s">
        <v>44</v>
      </c>
      <c r="P3" s="1" t="s">
        <v>35</v>
      </c>
      <c r="Q3" s="1" t="s">
        <v>36</v>
      </c>
      <c r="R3" s="1" t="s">
        <v>35</v>
      </c>
      <c r="S3" s="4" t="s">
        <v>37</v>
      </c>
      <c r="T3" s="1" t="s">
        <v>45</v>
      </c>
      <c r="U3" s="5">
        <f t="shared" si="1"/>
        <v>0</v>
      </c>
      <c r="V3" s="5">
        <f t="shared" si="2"/>
        <v>5</v>
      </c>
      <c r="W3" s="6">
        <f t="shared" si="3"/>
        <v>766200</v>
      </c>
      <c r="X3" s="6" t="str">
        <f t="shared" si="4"/>
        <v>R$700.000 - R$800.000</v>
      </c>
      <c r="Y3" s="6">
        <f t="shared" si="5"/>
        <v>766200</v>
      </c>
      <c r="Z3" s="3" t="str">
        <f t="shared" si="6"/>
        <v>R$700.000 - R$800.000</v>
      </c>
    </row>
    <row r="4">
      <c r="A4" s="1">
        <v>151865.0</v>
      </c>
      <c r="B4" s="1" t="s">
        <v>46</v>
      </c>
      <c r="C4" s="1" t="s">
        <v>47</v>
      </c>
      <c r="D4" s="1" t="s">
        <v>28</v>
      </c>
      <c r="E4" s="2">
        <v>40000.0</v>
      </c>
      <c r="F4" s="2">
        <v>40000.0</v>
      </c>
      <c r="G4" s="1" t="s">
        <v>29</v>
      </c>
      <c r="H4" s="1" t="s">
        <v>48</v>
      </c>
      <c r="I4" s="1" t="s">
        <v>49</v>
      </c>
      <c r="J4" s="1" t="s">
        <v>50</v>
      </c>
      <c r="K4" s="3"/>
      <c r="L4" s="1" t="s">
        <v>51</v>
      </c>
      <c r="M4" s="1" t="s">
        <v>52</v>
      </c>
      <c r="N4" s="1">
        <v>150000.0</v>
      </c>
      <c r="O4" s="1" t="s">
        <v>34</v>
      </c>
      <c r="P4" s="1" t="s">
        <v>53</v>
      </c>
      <c r="Q4" s="1" t="s">
        <v>54</v>
      </c>
      <c r="R4" s="1" t="s">
        <v>35</v>
      </c>
      <c r="S4" s="4" t="s">
        <v>37</v>
      </c>
      <c r="T4" s="1" t="s">
        <v>55</v>
      </c>
      <c r="U4" s="5">
        <f t="shared" si="1"/>
        <v>0</v>
      </c>
      <c r="V4" s="5">
        <f t="shared" si="2"/>
        <v>3</v>
      </c>
      <c r="W4" s="6">
        <f t="shared" si="3"/>
        <v>683200</v>
      </c>
      <c r="X4" s="6" t="str">
        <f t="shared" si="4"/>
        <v>R$600.000 - R$700.000</v>
      </c>
      <c r="Y4" s="6">
        <f t="shared" si="5"/>
        <v>683200</v>
      </c>
      <c r="Z4" s="3" t="str">
        <f t="shared" si="6"/>
        <v>R$600.000 - R$700.000</v>
      </c>
    </row>
    <row r="5">
      <c r="A5" s="1">
        <v>222584.0</v>
      </c>
      <c r="B5" s="1" t="s">
        <v>56</v>
      </c>
      <c r="C5" s="1" t="s">
        <v>57</v>
      </c>
      <c r="D5" s="1" t="s">
        <v>28</v>
      </c>
      <c r="E5" s="2">
        <v>25000.0</v>
      </c>
      <c r="F5" s="2">
        <v>30000.0</v>
      </c>
      <c r="G5" s="1" t="s">
        <v>29</v>
      </c>
      <c r="H5" s="1" t="s">
        <v>58</v>
      </c>
      <c r="I5" s="1" t="s">
        <v>59</v>
      </c>
      <c r="J5" s="1" t="s">
        <v>60</v>
      </c>
      <c r="K5" s="3"/>
      <c r="L5" s="1" t="s">
        <v>61</v>
      </c>
      <c r="M5" s="1" t="s">
        <v>33</v>
      </c>
      <c r="N5" s="1">
        <v>360000.0</v>
      </c>
      <c r="O5" s="1" t="s">
        <v>62</v>
      </c>
      <c r="P5" s="1" t="s">
        <v>35</v>
      </c>
      <c r="Q5" s="1" t="s">
        <v>36</v>
      </c>
      <c r="R5" s="1" t="s">
        <v>35</v>
      </c>
      <c r="S5" s="4" t="s">
        <v>63</v>
      </c>
      <c r="T5" s="1" t="s">
        <v>64</v>
      </c>
      <c r="U5" s="5">
        <f t="shared" si="1"/>
        <v>0.2</v>
      </c>
      <c r="V5" s="5">
        <f t="shared" si="2"/>
        <v>14</v>
      </c>
      <c r="W5" s="6">
        <f t="shared" si="3"/>
        <v>693250</v>
      </c>
      <c r="X5" s="6" t="str">
        <f t="shared" si="4"/>
        <v>R$600.000 - R$700.000</v>
      </c>
      <c r="Y5" s="6">
        <f t="shared" si="5"/>
        <v>831900</v>
      </c>
      <c r="Z5" s="3" t="str">
        <f t="shared" si="6"/>
        <v>R$800.000 - R$900.000</v>
      </c>
    </row>
    <row r="6">
      <c r="A6" s="1">
        <v>116912.0</v>
      </c>
      <c r="B6" s="1" t="s">
        <v>65</v>
      </c>
      <c r="C6" s="1" t="s">
        <v>66</v>
      </c>
      <c r="D6" s="1" t="s">
        <v>28</v>
      </c>
      <c r="E6" s="2">
        <v>12800.0</v>
      </c>
      <c r="F6" s="2">
        <v>16000.0</v>
      </c>
      <c r="G6" s="1" t="s">
        <v>29</v>
      </c>
      <c r="H6" s="1" t="s">
        <v>58</v>
      </c>
      <c r="I6" s="1" t="s">
        <v>67</v>
      </c>
      <c r="J6" s="1" t="s">
        <v>60</v>
      </c>
      <c r="K6" s="1" t="s">
        <v>68</v>
      </c>
      <c r="L6" s="1" t="s">
        <v>32</v>
      </c>
      <c r="M6" s="1" t="s">
        <v>69</v>
      </c>
      <c r="N6" s="1">
        <v>12800.0</v>
      </c>
      <c r="O6" s="1" t="s">
        <v>70</v>
      </c>
      <c r="P6" s="1" t="s">
        <v>53</v>
      </c>
      <c r="Q6" s="1" t="s">
        <v>36</v>
      </c>
      <c r="R6" s="1" t="s">
        <v>35</v>
      </c>
      <c r="S6" s="4" t="s">
        <v>63</v>
      </c>
      <c r="T6" s="1" t="s">
        <v>71</v>
      </c>
      <c r="U6" s="5">
        <f t="shared" si="1"/>
        <v>0.25</v>
      </c>
      <c r="V6" s="5">
        <f t="shared" si="2"/>
        <v>1</v>
      </c>
      <c r="W6" s="6">
        <f t="shared" si="3"/>
        <v>183424</v>
      </c>
      <c r="X6" s="7" t="s">
        <v>72</v>
      </c>
      <c r="Y6" s="6">
        <f t="shared" si="5"/>
        <v>229280</v>
      </c>
      <c r="Z6" s="4" t="s">
        <v>72</v>
      </c>
    </row>
    <row r="7">
      <c r="A7" s="1">
        <v>222728.0</v>
      </c>
      <c r="B7" s="1" t="s">
        <v>73</v>
      </c>
      <c r="C7" s="1" t="s">
        <v>74</v>
      </c>
      <c r="D7" s="1" t="s">
        <v>28</v>
      </c>
      <c r="E7" s="2">
        <v>15000.0</v>
      </c>
      <c r="F7" s="2">
        <v>15000.0</v>
      </c>
      <c r="G7" s="1" t="s">
        <v>75</v>
      </c>
      <c r="H7" s="1" t="s">
        <v>58</v>
      </c>
      <c r="I7" s="1" t="s">
        <v>76</v>
      </c>
      <c r="J7" s="1" t="s">
        <v>77</v>
      </c>
      <c r="K7" s="3"/>
      <c r="L7" s="1" t="s">
        <v>32</v>
      </c>
      <c r="M7" s="1" t="s">
        <v>52</v>
      </c>
      <c r="N7" s="1">
        <v>5000.0</v>
      </c>
      <c r="O7" s="1" t="s">
        <v>78</v>
      </c>
      <c r="P7" s="1" t="s">
        <v>53</v>
      </c>
      <c r="Q7" s="1" t="s">
        <v>36</v>
      </c>
      <c r="R7" s="1" t="s">
        <v>53</v>
      </c>
      <c r="S7" s="4" t="s">
        <v>63</v>
      </c>
      <c r="T7" s="1" t="s">
        <v>79</v>
      </c>
      <c r="U7" s="5">
        <f t="shared" si="1"/>
        <v>0</v>
      </c>
      <c r="V7" s="5">
        <f t="shared" si="2"/>
        <v>0</v>
      </c>
      <c r="W7" s="6">
        <f t="shared" si="3"/>
        <v>204950</v>
      </c>
      <c r="X7" s="7" t="s">
        <v>72</v>
      </c>
      <c r="Y7" s="6">
        <f t="shared" si="5"/>
        <v>204950</v>
      </c>
      <c r="Z7" s="4" t="s">
        <v>72</v>
      </c>
    </row>
    <row r="8">
      <c r="A8" s="1">
        <v>113781.0</v>
      </c>
      <c r="B8" s="1" t="s">
        <v>80</v>
      </c>
      <c r="C8" s="1" t="s">
        <v>81</v>
      </c>
      <c r="D8" s="1" t="s">
        <v>28</v>
      </c>
      <c r="E8" s="2">
        <v>24000.0</v>
      </c>
      <c r="F8" s="2">
        <v>28800.0</v>
      </c>
      <c r="G8" s="1" t="s">
        <v>29</v>
      </c>
      <c r="H8" s="1" t="s">
        <v>82</v>
      </c>
      <c r="I8" s="1" t="s">
        <v>83</v>
      </c>
      <c r="J8" s="1" t="s">
        <v>77</v>
      </c>
      <c r="K8" s="3"/>
      <c r="L8" s="1" t="s">
        <v>32</v>
      </c>
      <c r="M8" s="1" t="s">
        <v>52</v>
      </c>
      <c r="N8" s="1">
        <v>0.0</v>
      </c>
      <c r="O8" s="1" t="s">
        <v>62</v>
      </c>
      <c r="P8" s="1" t="s">
        <v>53</v>
      </c>
      <c r="Q8" s="1" t="s">
        <v>36</v>
      </c>
      <c r="R8" s="1" t="s">
        <v>35</v>
      </c>
      <c r="S8" s="4" t="s">
        <v>63</v>
      </c>
      <c r="T8" s="1" t="s">
        <v>84</v>
      </c>
      <c r="U8" s="5">
        <f t="shared" si="1"/>
        <v>0.2</v>
      </c>
      <c r="V8" s="5">
        <f t="shared" si="2"/>
        <v>0</v>
      </c>
      <c r="W8" s="6">
        <f t="shared" si="3"/>
        <v>319920</v>
      </c>
      <c r="X8" s="7" t="s">
        <v>72</v>
      </c>
      <c r="Y8" s="6">
        <f t="shared" si="5"/>
        <v>383904</v>
      </c>
      <c r="Z8" s="4" t="s">
        <v>72</v>
      </c>
    </row>
    <row r="9">
      <c r="A9" s="1">
        <v>123076.0</v>
      </c>
      <c r="B9" s="1" t="s">
        <v>85</v>
      </c>
      <c r="C9" s="1" t="s">
        <v>86</v>
      </c>
      <c r="D9" s="1" t="s">
        <v>28</v>
      </c>
      <c r="E9" s="2">
        <v>19000.0</v>
      </c>
      <c r="F9" s="2">
        <v>22800.0</v>
      </c>
      <c r="G9" s="1" t="s">
        <v>29</v>
      </c>
      <c r="H9" s="1" t="s">
        <v>87</v>
      </c>
      <c r="I9" s="1" t="s">
        <v>88</v>
      </c>
      <c r="J9" s="1" t="s">
        <v>60</v>
      </c>
      <c r="K9" s="3"/>
      <c r="L9" s="1" t="s">
        <v>32</v>
      </c>
      <c r="M9" s="1" t="s">
        <v>52</v>
      </c>
      <c r="N9" s="1">
        <v>4500.0</v>
      </c>
      <c r="O9" s="1" t="s">
        <v>34</v>
      </c>
      <c r="P9" s="1" t="s">
        <v>53</v>
      </c>
      <c r="Q9" s="1" t="s">
        <v>36</v>
      </c>
      <c r="R9" s="1" t="s">
        <v>53</v>
      </c>
      <c r="S9" s="4" t="s">
        <v>63</v>
      </c>
      <c r="T9" s="1" t="s">
        <v>89</v>
      </c>
      <c r="U9" s="5">
        <f t="shared" si="1"/>
        <v>0.2</v>
      </c>
      <c r="V9" s="5">
        <f t="shared" si="2"/>
        <v>0</v>
      </c>
      <c r="W9" s="6">
        <f t="shared" si="3"/>
        <v>257770</v>
      </c>
      <c r="X9" s="7" t="s">
        <v>72</v>
      </c>
      <c r="Y9" s="6">
        <f t="shared" si="5"/>
        <v>309324</v>
      </c>
      <c r="Z9" s="4" t="s">
        <v>72</v>
      </c>
    </row>
    <row r="10">
      <c r="A10" s="1">
        <v>103818.0</v>
      </c>
      <c r="B10" s="1" t="s">
        <v>90</v>
      </c>
      <c r="C10" s="1" t="s">
        <v>91</v>
      </c>
      <c r="D10" s="1" t="s">
        <v>28</v>
      </c>
      <c r="E10" s="2">
        <v>18000.0</v>
      </c>
      <c r="F10" s="2">
        <v>18000.0</v>
      </c>
      <c r="G10" s="1" t="s">
        <v>75</v>
      </c>
      <c r="H10" s="1" t="s">
        <v>92</v>
      </c>
      <c r="I10" s="1" t="s">
        <v>93</v>
      </c>
      <c r="J10" s="1" t="s">
        <v>60</v>
      </c>
      <c r="K10" s="3"/>
      <c r="L10" s="1" t="s">
        <v>32</v>
      </c>
      <c r="M10" s="1" t="s">
        <v>33</v>
      </c>
      <c r="N10" s="1">
        <v>40000.0</v>
      </c>
      <c r="O10" s="1" t="s">
        <v>94</v>
      </c>
      <c r="P10" s="1" t="s">
        <v>53</v>
      </c>
      <c r="Q10" s="1" t="s">
        <v>36</v>
      </c>
      <c r="R10" s="1" t="s">
        <v>35</v>
      </c>
      <c r="S10" s="4" t="s">
        <v>63</v>
      </c>
      <c r="T10" s="1" t="s">
        <v>95</v>
      </c>
      <c r="U10" s="5">
        <f t="shared" si="1"/>
        <v>0</v>
      </c>
      <c r="V10" s="5">
        <f t="shared" si="2"/>
        <v>2</v>
      </c>
      <c r="W10" s="6">
        <f t="shared" si="3"/>
        <v>279940</v>
      </c>
      <c r="X10" s="7" t="s">
        <v>72</v>
      </c>
      <c r="Y10" s="6">
        <f t="shared" si="5"/>
        <v>279940</v>
      </c>
      <c r="Z10" s="4" t="s">
        <v>72</v>
      </c>
    </row>
    <row r="11">
      <c r="A11" s="1">
        <v>102924.0</v>
      </c>
      <c r="B11" s="1" t="s">
        <v>96</v>
      </c>
      <c r="C11" s="1" t="s">
        <v>97</v>
      </c>
      <c r="D11" s="1" t="s">
        <v>28</v>
      </c>
      <c r="E11" s="2">
        <v>32500.0</v>
      </c>
      <c r="F11" s="2">
        <v>45000.0</v>
      </c>
      <c r="G11" s="1" t="s">
        <v>29</v>
      </c>
      <c r="H11" s="1" t="s">
        <v>98</v>
      </c>
      <c r="I11" s="1" t="s">
        <v>99</v>
      </c>
      <c r="J11" s="1" t="s">
        <v>31</v>
      </c>
      <c r="K11" s="3"/>
      <c r="L11" s="1" t="s">
        <v>43</v>
      </c>
      <c r="M11" s="1" t="s">
        <v>52</v>
      </c>
      <c r="N11" s="1">
        <v>130000.0</v>
      </c>
      <c r="O11" s="1" t="s">
        <v>44</v>
      </c>
      <c r="P11" s="1" t="s">
        <v>35</v>
      </c>
      <c r="Q11" s="1" t="s">
        <v>36</v>
      </c>
      <c r="R11" s="1" t="s">
        <v>35</v>
      </c>
      <c r="S11" s="4" t="s">
        <v>63</v>
      </c>
      <c r="T11" s="1" t="s">
        <v>100</v>
      </c>
      <c r="U11" s="5">
        <f t="shared" si="1"/>
        <v>0.3846153846</v>
      </c>
      <c r="V11" s="5">
        <f t="shared" si="2"/>
        <v>4</v>
      </c>
      <c r="W11" s="6">
        <f t="shared" si="3"/>
        <v>563225</v>
      </c>
      <c r="X11" s="6" t="str">
        <f>IF(W11&lt;100000,"abaixo de R$100.000",IF(AND(W11&gt;=100000,W11&lt;200000),"R$100.000 - R$200.000",IF(AND(W11&gt;=200000,W11&lt;300000),"R$200.000 - R$300.000",IF(AND(W11&gt;=300000,W11&lt;400000),"R$300.000 - R$400.000",IF(AND(W11&gt;=400000,W11&lt;500000),"R$400.000 - R$500.000",IF(AND(W11&gt;=500000,W11&lt;600000),"R$500.000 - R$600.000",IF(AND(W11&gt;=600000,W11&lt;700000),"R$600.000 - R$700.000",IF(AND(W11&gt;=700000,W11&lt;800000),"R$700.000 - R$800.000",IF(AND(W11&gt;=800000,W11&lt;900000),"R$800.000 - R$900.000","Superior a R$900.000")))))))))</f>
        <v>R$500.000 - R$600.000</v>
      </c>
      <c r="Y11" s="6">
        <f t="shared" si="5"/>
        <v>779850</v>
      </c>
      <c r="Z11" s="3" t="str">
        <f t="shared" ref="Z11:Z12" si="7">IF(Y11&lt;100000,"abaixo de R$100.000",IF(AND(Y11&gt;=100000,Y11&lt;200000),"R$100.000 - R$200.000",IF(AND(Y11&gt;=200000,Y11&lt;300000),"R$200.000 - R$300.000",IF(AND(Y11&gt;=300000,Y11&lt;400000),"R$300.000 - R$400.000",IF(AND(Y11&gt;=400000,Y11&lt;500000),"R$400.000 - R$500.000",IF(AND(Y11&gt;=500000,Y11&lt;600000),"R$500.000 - R$600.000",IF(AND(Y11&gt;=600000,Y11&lt;700000),"R$600.000 - R$700.000",IF(AND(Y11&gt;=700000,Y11&lt;800000),"R$700.000 - R$800.000",IF(AND(Y11&gt;=800000,Y11&lt;900000),"R$800.000 - R$900.000","Superior a R$900.000")))))))))</f>
        <v>R$700.000 - R$800.000</v>
      </c>
    </row>
    <row r="12">
      <c r="A12" s="1">
        <v>108275.0</v>
      </c>
      <c r="B12" s="1" t="s">
        <v>101</v>
      </c>
      <c r="C12" s="1" t="s">
        <v>102</v>
      </c>
      <c r="D12" s="1" t="s">
        <v>28</v>
      </c>
      <c r="E12" s="2">
        <v>19900.0</v>
      </c>
      <c r="F12" s="2">
        <v>25000.0</v>
      </c>
      <c r="G12" s="1" t="s">
        <v>29</v>
      </c>
      <c r="H12" s="1" t="s">
        <v>98</v>
      </c>
      <c r="I12" s="1" t="s">
        <v>103</v>
      </c>
      <c r="J12" s="1" t="s">
        <v>60</v>
      </c>
      <c r="K12" s="3"/>
      <c r="L12" s="1" t="s">
        <v>51</v>
      </c>
      <c r="M12" s="1" t="s">
        <v>33</v>
      </c>
      <c r="N12" s="1">
        <v>94000.0</v>
      </c>
      <c r="O12" s="1" t="s">
        <v>104</v>
      </c>
      <c r="P12" s="1" t="s">
        <v>35</v>
      </c>
      <c r="Q12" s="1" t="s">
        <v>36</v>
      </c>
      <c r="R12" s="1" t="s">
        <v>35</v>
      </c>
      <c r="S12" s="4" t="s">
        <v>63</v>
      </c>
      <c r="T12" s="1" t="s">
        <v>105</v>
      </c>
      <c r="U12" s="5">
        <f t="shared" si="1"/>
        <v>0.256281407</v>
      </c>
      <c r="V12" s="5">
        <f t="shared" si="2"/>
        <v>4</v>
      </c>
      <c r="W12" s="6">
        <f t="shared" si="3"/>
        <v>359267</v>
      </c>
      <c r="X12" s="6"/>
      <c r="Y12" s="6">
        <f t="shared" si="5"/>
        <v>451340.4523</v>
      </c>
      <c r="Z12" s="3" t="str">
        <f t="shared" si="7"/>
        <v>R$400.000 - R$500.000</v>
      </c>
    </row>
    <row r="13">
      <c r="A13" s="1">
        <v>222333.0</v>
      </c>
      <c r="B13" s="1" t="s">
        <v>106</v>
      </c>
      <c r="C13" s="1" t="s">
        <v>107</v>
      </c>
      <c r="D13" s="1" t="s">
        <v>28</v>
      </c>
      <c r="E13" s="2">
        <v>25000.0</v>
      </c>
      <c r="F13" s="2">
        <v>30000.0</v>
      </c>
      <c r="G13" s="1" t="s">
        <v>29</v>
      </c>
      <c r="H13" s="1" t="s">
        <v>108</v>
      </c>
      <c r="I13" s="1" t="s">
        <v>109</v>
      </c>
      <c r="J13" s="1" t="s">
        <v>77</v>
      </c>
      <c r="K13" s="3"/>
      <c r="L13" s="1" t="s">
        <v>61</v>
      </c>
      <c r="M13" s="1" t="s">
        <v>52</v>
      </c>
      <c r="N13" s="1">
        <v>0.0</v>
      </c>
      <c r="O13" s="1" t="s">
        <v>62</v>
      </c>
      <c r="P13" s="1" t="s">
        <v>53</v>
      </c>
      <c r="Q13" s="1" t="s">
        <v>36</v>
      </c>
      <c r="R13" s="1" t="s">
        <v>35</v>
      </c>
      <c r="S13" s="4" t="s">
        <v>63</v>
      </c>
      <c r="T13" s="1" t="s">
        <v>110</v>
      </c>
      <c r="U13" s="5">
        <f t="shared" si="1"/>
        <v>0.2</v>
      </c>
      <c r="V13" s="5">
        <f t="shared" si="2"/>
        <v>0</v>
      </c>
      <c r="W13" s="6">
        <f t="shared" si="3"/>
        <v>333250</v>
      </c>
      <c r="X13" s="7" t="s">
        <v>72</v>
      </c>
      <c r="Y13" s="6">
        <f t="shared" si="5"/>
        <v>399900</v>
      </c>
      <c r="Z13" s="4" t="s">
        <v>72</v>
      </c>
    </row>
    <row r="14">
      <c r="A14" s="1">
        <v>222605.0</v>
      </c>
      <c r="B14" s="1" t="s">
        <v>111</v>
      </c>
      <c r="C14" s="1" t="s">
        <v>112</v>
      </c>
      <c r="D14" s="1" t="s">
        <v>28</v>
      </c>
      <c r="E14" s="1">
        <v>0.0</v>
      </c>
      <c r="F14" s="1">
        <v>0.0</v>
      </c>
      <c r="G14" s="1" t="s">
        <v>75</v>
      </c>
      <c r="H14" s="1" t="s">
        <v>113</v>
      </c>
      <c r="I14" s="1" t="s">
        <v>114</v>
      </c>
      <c r="J14" s="1" t="s">
        <v>77</v>
      </c>
      <c r="K14" s="3"/>
      <c r="L14" s="1" t="s">
        <v>51</v>
      </c>
      <c r="M14" s="1" t="s">
        <v>33</v>
      </c>
      <c r="N14" s="6"/>
      <c r="O14" s="1" t="s">
        <v>78</v>
      </c>
      <c r="P14" s="1" t="s">
        <v>35</v>
      </c>
      <c r="Q14" s="1" t="s">
        <v>36</v>
      </c>
      <c r="R14" s="1" t="s">
        <v>35</v>
      </c>
      <c r="S14" s="4" t="s">
        <v>63</v>
      </c>
      <c r="T14" s="1" t="s">
        <v>115</v>
      </c>
      <c r="U14" s="5"/>
      <c r="V14" s="5"/>
      <c r="W14" s="6"/>
      <c r="X14" s="7" t="s">
        <v>72</v>
      </c>
      <c r="Y14" s="6"/>
      <c r="Z14" s="4" t="s">
        <v>72</v>
      </c>
    </row>
    <row r="15">
      <c r="A15" s="1">
        <v>222601.0</v>
      </c>
      <c r="B15" s="1" t="s">
        <v>116</v>
      </c>
      <c r="C15" s="1" t="s">
        <v>117</v>
      </c>
      <c r="D15" s="1" t="s">
        <v>28</v>
      </c>
      <c r="E15" s="1">
        <v>0.0</v>
      </c>
      <c r="F15" s="1">
        <v>0.0</v>
      </c>
      <c r="G15" s="1" t="s">
        <v>75</v>
      </c>
      <c r="H15" s="1" t="s">
        <v>113</v>
      </c>
      <c r="I15" s="1" t="s">
        <v>118</v>
      </c>
      <c r="J15" s="1" t="s">
        <v>77</v>
      </c>
      <c r="K15" s="3"/>
      <c r="L15" s="1" t="s">
        <v>32</v>
      </c>
      <c r="M15" s="1" t="s">
        <v>33</v>
      </c>
      <c r="N15" s="6"/>
      <c r="O15" s="1" t="s">
        <v>119</v>
      </c>
      <c r="P15" s="1" t="s">
        <v>35</v>
      </c>
      <c r="Q15" s="1" t="s">
        <v>54</v>
      </c>
      <c r="R15" s="1" t="s">
        <v>35</v>
      </c>
      <c r="S15" s="4" t="s">
        <v>63</v>
      </c>
      <c r="T15" s="1" t="s">
        <v>120</v>
      </c>
      <c r="U15" s="5"/>
      <c r="V15" s="5"/>
      <c r="W15" s="6"/>
      <c r="X15" s="7" t="s">
        <v>72</v>
      </c>
      <c r="Y15" s="6"/>
      <c r="Z15" s="4" t="s">
        <v>72</v>
      </c>
    </row>
    <row r="16">
      <c r="A16" s="1">
        <v>218880.0</v>
      </c>
      <c r="B16" s="1" t="s">
        <v>121</v>
      </c>
      <c r="C16" s="1" t="s">
        <v>122</v>
      </c>
      <c r="D16" s="1" t="s">
        <v>28</v>
      </c>
      <c r="E16" s="2">
        <v>31000.0</v>
      </c>
      <c r="F16" s="2">
        <f>E16*1.2</f>
        <v>37200</v>
      </c>
      <c r="G16" s="1" t="s">
        <v>29</v>
      </c>
      <c r="H16" s="1" t="s">
        <v>123</v>
      </c>
      <c r="I16" s="1" t="s">
        <v>124</v>
      </c>
      <c r="J16" s="1" t="s">
        <v>31</v>
      </c>
      <c r="K16" s="3"/>
      <c r="L16" s="1" t="s">
        <v>51</v>
      </c>
      <c r="M16" s="1" t="s">
        <v>33</v>
      </c>
      <c r="N16" s="1">
        <v>0.0</v>
      </c>
      <c r="O16" s="1" t="s">
        <v>34</v>
      </c>
      <c r="P16" s="1" t="s">
        <v>53</v>
      </c>
      <c r="Q16" s="1" t="s">
        <v>54</v>
      </c>
      <c r="R16" s="1" t="s">
        <v>35</v>
      </c>
      <c r="S16" s="4" t="s">
        <v>37</v>
      </c>
      <c r="T16" s="1" t="s">
        <v>125</v>
      </c>
      <c r="U16" s="5">
        <f t="shared" ref="U16:U20" si="8">(F16/E16)-1</f>
        <v>0.2</v>
      </c>
      <c r="V16" s="5">
        <f t="shared" ref="V16:V20" si="9">ROUNDDOWN(N16/E16,0)</f>
        <v>0</v>
      </c>
      <c r="W16" s="6">
        <f t="shared" ref="W16:W20" si="10">13.33*E16+N16</f>
        <v>413230</v>
      </c>
      <c r="X16" s="6" t="str">
        <f t="shared" ref="X16:X20" si="11">IF(W16&lt;100000,"abaixo de R$100.000",IF(AND(W16&gt;=100000,W16&lt;200000),"R$100.000 - R$200.000",IF(AND(W16&gt;=200000,W16&lt;300000),"R$200.000 - R$300.000",IF(AND(W16&gt;=300000,W16&lt;400000),"R$300.000 - R$400.000",IF(AND(W16&gt;=400000,W16&lt;500000),"R$400.000 - R$500.000",IF(AND(W16&gt;=500000,W16&lt;600000),"R$500.000 - R$600.000",IF(AND(W16&gt;=600000,W16&lt;700000),"R$600.000 - R$700.000",IF(AND(W16&gt;=700000,W16&lt;800000),"R$700.000 - R$800.000",IF(AND(W16&gt;=800000,W16&lt;900000),"R$800.000 - R$900.000","Superior a R$900.000")))))))))</f>
        <v>R$400.000 - R$500.000</v>
      </c>
      <c r="Y16" s="6">
        <f t="shared" ref="Y16:Y20" si="12">W16+(W16*U16)</f>
        <v>495876</v>
      </c>
      <c r="Z16" s="3"/>
    </row>
    <row r="17">
      <c r="A17" s="1">
        <v>222690.0</v>
      </c>
      <c r="B17" s="1" t="s">
        <v>126</v>
      </c>
      <c r="C17" s="1" t="s">
        <v>127</v>
      </c>
      <c r="D17" s="1" t="s">
        <v>28</v>
      </c>
      <c r="E17" s="2">
        <v>41000.0</v>
      </c>
      <c r="F17" s="2">
        <v>49200.0</v>
      </c>
      <c r="G17" s="1" t="s">
        <v>29</v>
      </c>
      <c r="H17" s="1" t="s">
        <v>123</v>
      </c>
      <c r="I17" s="1" t="s">
        <v>128</v>
      </c>
      <c r="J17" s="1" t="s">
        <v>60</v>
      </c>
      <c r="K17" s="3"/>
      <c r="L17" s="1" t="s">
        <v>51</v>
      </c>
      <c r="M17" s="1" t="s">
        <v>33</v>
      </c>
      <c r="N17" s="1">
        <v>82000.0</v>
      </c>
      <c r="O17" s="1" t="s">
        <v>34</v>
      </c>
      <c r="P17" s="1" t="s">
        <v>53</v>
      </c>
      <c r="Q17" s="1" t="s">
        <v>36</v>
      </c>
      <c r="R17" s="1" t="s">
        <v>35</v>
      </c>
      <c r="S17" s="4" t="s">
        <v>37</v>
      </c>
      <c r="T17" s="1" t="s">
        <v>129</v>
      </c>
      <c r="U17" s="5">
        <f t="shared" si="8"/>
        <v>0.2</v>
      </c>
      <c r="V17" s="5">
        <f t="shared" si="9"/>
        <v>2</v>
      </c>
      <c r="W17" s="6">
        <f t="shared" si="10"/>
        <v>628530</v>
      </c>
      <c r="X17" s="6" t="str">
        <f t="shared" si="11"/>
        <v>R$600.000 - R$700.000</v>
      </c>
      <c r="Y17" s="6">
        <f t="shared" si="12"/>
        <v>754236</v>
      </c>
      <c r="Z17" s="3" t="str">
        <f t="shared" ref="Z17:Z20" si="13">IF(Y17&lt;100000,"abaixo de R$100.000",IF(AND(Y17&gt;=100000,Y17&lt;200000),"R$100.000 - R$200.000",IF(AND(Y17&gt;=200000,Y17&lt;300000),"R$200.000 - R$300.000",IF(AND(Y17&gt;=300000,Y17&lt;400000),"R$300.000 - R$400.000",IF(AND(Y17&gt;=400000,Y17&lt;500000),"R$400.000 - R$500.000",IF(AND(Y17&gt;=500000,Y17&lt;600000),"R$500.000 - R$600.000",IF(AND(Y17&gt;=600000,Y17&lt;700000),"R$600.000 - R$700.000",IF(AND(Y17&gt;=700000,Y17&lt;800000),"R$700.000 - R$800.000",IF(AND(Y17&gt;=800000,Y17&lt;900000),"R$800.000 - R$900.000","Superior a R$900.000")))))))))</f>
        <v>R$700.000 - R$800.000</v>
      </c>
    </row>
    <row r="18">
      <c r="A18" s="1">
        <v>130384.0</v>
      </c>
      <c r="B18" s="1" t="s">
        <v>130</v>
      </c>
      <c r="C18" s="1" t="s">
        <v>131</v>
      </c>
      <c r="D18" s="1" t="s">
        <v>132</v>
      </c>
      <c r="E18" s="2">
        <v>35000.0</v>
      </c>
      <c r="F18" s="2">
        <f>E18*1.12</f>
        <v>39200</v>
      </c>
      <c r="G18" s="1" t="s">
        <v>29</v>
      </c>
      <c r="H18" s="1" t="s">
        <v>133</v>
      </c>
      <c r="I18" s="1" t="s">
        <v>134</v>
      </c>
      <c r="J18" s="1" t="s">
        <v>31</v>
      </c>
      <c r="K18" s="1" t="s">
        <v>68</v>
      </c>
      <c r="L18" s="1" t="s">
        <v>51</v>
      </c>
      <c r="M18" s="1" t="s">
        <v>33</v>
      </c>
      <c r="N18" s="1">
        <v>280000.0</v>
      </c>
      <c r="O18" s="1" t="s">
        <v>135</v>
      </c>
      <c r="P18" s="1" t="s">
        <v>53</v>
      </c>
      <c r="Q18" s="1" t="s">
        <v>54</v>
      </c>
      <c r="R18" s="1" t="s">
        <v>53</v>
      </c>
      <c r="S18" s="3"/>
      <c r="T18" s="1" t="s">
        <v>136</v>
      </c>
      <c r="U18" s="5">
        <f t="shared" si="8"/>
        <v>0.12</v>
      </c>
      <c r="V18" s="5">
        <f t="shared" si="9"/>
        <v>8</v>
      </c>
      <c r="W18" s="6">
        <f t="shared" si="10"/>
        <v>746550</v>
      </c>
      <c r="X18" s="6" t="str">
        <f t="shared" si="11"/>
        <v>R$700.000 - R$800.000</v>
      </c>
      <c r="Y18" s="6">
        <f t="shared" si="12"/>
        <v>836136</v>
      </c>
      <c r="Z18" s="3" t="str">
        <f t="shared" si="13"/>
        <v>R$800.000 - R$900.000</v>
      </c>
    </row>
    <row r="19">
      <c r="A19" s="1">
        <v>111670.0</v>
      </c>
      <c r="B19" s="1" t="s">
        <v>137</v>
      </c>
      <c r="C19" s="1" t="s">
        <v>138</v>
      </c>
      <c r="D19" s="1" t="s">
        <v>28</v>
      </c>
      <c r="E19" s="2">
        <v>46000.0</v>
      </c>
      <c r="F19" s="2">
        <v>60000.0</v>
      </c>
      <c r="G19" s="1" t="s">
        <v>29</v>
      </c>
      <c r="H19" s="1" t="s">
        <v>123</v>
      </c>
      <c r="I19" s="1" t="s">
        <v>139</v>
      </c>
      <c r="J19" s="1" t="s">
        <v>31</v>
      </c>
      <c r="K19" s="3"/>
      <c r="L19" s="1" t="s">
        <v>51</v>
      </c>
      <c r="M19" s="1" t="s">
        <v>33</v>
      </c>
      <c r="N19" s="1">
        <v>92000.0</v>
      </c>
      <c r="O19" s="1" t="s">
        <v>140</v>
      </c>
      <c r="P19" s="1" t="s">
        <v>53</v>
      </c>
      <c r="Q19" s="1" t="s">
        <v>54</v>
      </c>
      <c r="R19" s="1" t="s">
        <v>35</v>
      </c>
      <c r="S19" s="4" t="s">
        <v>37</v>
      </c>
      <c r="T19" s="1" t="s">
        <v>141</v>
      </c>
      <c r="U19" s="5">
        <f t="shared" si="8"/>
        <v>0.3043478261</v>
      </c>
      <c r="V19" s="5">
        <f t="shared" si="9"/>
        <v>2</v>
      </c>
      <c r="W19" s="6">
        <f t="shared" si="10"/>
        <v>705180</v>
      </c>
      <c r="X19" s="6" t="str">
        <f t="shared" si="11"/>
        <v>R$700.000 - R$800.000</v>
      </c>
      <c r="Y19" s="6">
        <f t="shared" si="12"/>
        <v>919800</v>
      </c>
      <c r="Z19" s="3" t="str">
        <f t="shared" si="13"/>
        <v>Superior a R$900.000</v>
      </c>
    </row>
    <row r="20">
      <c r="A20" s="1">
        <v>144675.0</v>
      </c>
      <c r="B20" s="1" t="s">
        <v>142</v>
      </c>
      <c r="C20" s="1" t="s">
        <v>143</v>
      </c>
      <c r="D20" s="1" t="s">
        <v>28</v>
      </c>
      <c r="E20" s="2">
        <v>50000.0</v>
      </c>
      <c r="F20" s="2">
        <v>50000.0</v>
      </c>
      <c r="G20" s="1" t="s">
        <v>29</v>
      </c>
      <c r="H20" s="1" t="s">
        <v>123</v>
      </c>
      <c r="I20" s="1" t="s">
        <v>144</v>
      </c>
      <c r="J20" s="1" t="s">
        <v>50</v>
      </c>
      <c r="K20" s="1" t="s">
        <v>68</v>
      </c>
      <c r="L20" s="1" t="s">
        <v>32</v>
      </c>
      <c r="M20" s="1" t="s">
        <v>33</v>
      </c>
      <c r="N20" s="1">
        <v>250000.0</v>
      </c>
      <c r="O20" s="1" t="s">
        <v>34</v>
      </c>
      <c r="P20" s="1" t="s">
        <v>53</v>
      </c>
      <c r="Q20" s="1" t="s">
        <v>36</v>
      </c>
      <c r="R20" s="1" t="s">
        <v>35</v>
      </c>
      <c r="S20" s="4" t="s">
        <v>37</v>
      </c>
      <c r="T20" s="1" t="s">
        <v>145</v>
      </c>
      <c r="U20" s="5">
        <f t="shared" si="8"/>
        <v>0</v>
      </c>
      <c r="V20" s="5">
        <f t="shared" si="9"/>
        <v>5</v>
      </c>
      <c r="W20" s="6">
        <f t="shared" si="10"/>
        <v>916500</v>
      </c>
      <c r="X20" s="6" t="str">
        <f t="shared" si="11"/>
        <v>Superior a R$900.000</v>
      </c>
      <c r="Y20" s="6">
        <f t="shared" si="12"/>
        <v>916500</v>
      </c>
      <c r="Z20" s="3" t="str">
        <f t="shared" si="13"/>
        <v>Superior a R$900.000</v>
      </c>
    </row>
    <row r="21">
      <c r="A21" s="1">
        <v>222364.0</v>
      </c>
      <c r="B21" s="1" t="s">
        <v>146</v>
      </c>
      <c r="C21" s="1" t="s">
        <v>147</v>
      </c>
      <c r="D21" s="1" t="s">
        <v>28</v>
      </c>
      <c r="E21" s="1">
        <v>0.0</v>
      </c>
      <c r="F21" s="1">
        <v>0.0</v>
      </c>
      <c r="G21" s="1" t="s">
        <v>75</v>
      </c>
      <c r="H21" s="1" t="s">
        <v>123</v>
      </c>
      <c r="I21" s="1" t="s">
        <v>148</v>
      </c>
      <c r="J21" s="1" t="s">
        <v>77</v>
      </c>
      <c r="K21" s="3"/>
      <c r="L21" s="1" t="s">
        <v>51</v>
      </c>
      <c r="M21" s="1" t="s">
        <v>33</v>
      </c>
      <c r="N21" s="3"/>
      <c r="O21" s="1" t="s">
        <v>78</v>
      </c>
      <c r="P21" s="1" t="s">
        <v>53</v>
      </c>
      <c r="Q21" s="1" t="s">
        <v>36</v>
      </c>
      <c r="R21" s="1" t="s">
        <v>53</v>
      </c>
      <c r="S21" s="4" t="s">
        <v>37</v>
      </c>
      <c r="T21" s="1" t="s">
        <v>149</v>
      </c>
      <c r="U21" s="5"/>
      <c r="V21" s="5"/>
      <c r="W21" s="6"/>
      <c r="X21" s="7" t="s">
        <v>72</v>
      </c>
      <c r="Y21" s="6"/>
      <c r="Z21" s="4" t="s">
        <v>150</v>
      </c>
    </row>
    <row r="22">
      <c r="A22" s="1">
        <v>112116.0</v>
      </c>
      <c r="B22" s="1" t="s">
        <v>151</v>
      </c>
      <c r="C22" s="1" t="s">
        <v>152</v>
      </c>
      <c r="D22" s="1" t="s">
        <v>28</v>
      </c>
      <c r="E22" s="2">
        <v>17000.0</v>
      </c>
      <c r="F22" s="2">
        <v>20000.0</v>
      </c>
      <c r="G22" s="1" t="s">
        <v>29</v>
      </c>
      <c r="H22" s="1" t="s">
        <v>123</v>
      </c>
      <c r="I22" s="1" t="s">
        <v>42</v>
      </c>
      <c r="J22" s="1" t="s">
        <v>31</v>
      </c>
      <c r="K22" s="3"/>
      <c r="L22" s="1" t="s">
        <v>51</v>
      </c>
      <c r="M22" s="1" t="s">
        <v>33</v>
      </c>
      <c r="N22" s="1">
        <v>5000.0</v>
      </c>
      <c r="O22" s="1" t="s">
        <v>70</v>
      </c>
      <c r="P22" s="1" t="s">
        <v>35</v>
      </c>
      <c r="Q22" s="1" t="s">
        <v>54</v>
      </c>
      <c r="R22" s="1" t="s">
        <v>35</v>
      </c>
      <c r="S22" s="4" t="s">
        <v>63</v>
      </c>
      <c r="T22" s="1" t="s">
        <v>153</v>
      </c>
      <c r="U22" s="5">
        <f t="shared" ref="U22:U28" si="14">(F22/E22)-1</f>
        <v>0.1764705882</v>
      </c>
      <c r="V22" s="5">
        <f t="shared" ref="V22:V28" si="15">ROUNDDOWN(N22/E22,0)</f>
        <v>0</v>
      </c>
      <c r="W22" s="6">
        <f t="shared" ref="W22:W28" si="16">13.33*E22+N22</f>
        <v>231610</v>
      </c>
      <c r="X22" s="7" t="s">
        <v>72</v>
      </c>
      <c r="Y22" s="6">
        <f t="shared" ref="Y22:Y28" si="17">W22+(W22*U22)</f>
        <v>272482.3529</v>
      </c>
      <c r="Z22" s="4" t="s">
        <v>150</v>
      </c>
    </row>
    <row r="23">
      <c r="A23" s="1">
        <v>122988.0</v>
      </c>
      <c r="B23" s="1" t="s">
        <v>154</v>
      </c>
      <c r="C23" s="1" t="s">
        <v>155</v>
      </c>
      <c r="D23" s="1" t="s">
        <v>28</v>
      </c>
      <c r="E23" s="2">
        <v>20000.0</v>
      </c>
      <c r="F23" s="2">
        <v>24000.0</v>
      </c>
      <c r="G23" s="1" t="s">
        <v>29</v>
      </c>
      <c r="H23" s="1" t="s">
        <v>123</v>
      </c>
      <c r="I23" s="1" t="s">
        <v>99</v>
      </c>
      <c r="J23" s="1" t="s">
        <v>31</v>
      </c>
      <c r="K23" s="3"/>
      <c r="L23" s="1" t="s">
        <v>32</v>
      </c>
      <c r="M23" s="1" t="s">
        <v>33</v>
      </c>
      <c r="N23" s="1">
        <v>30000.0</v>
      </c>
      <c r="O23" s="1" t="s">
        <v>34</v>
      </c>
      <c r="P23" s="1" t="s">
        <v>35</v>
      </c>
      <c r="Q23" s="1" t="s">
        <v>54</v>
      </c>
      <c r="R23" s="1" t="s">
        <v>35</v>
      </c>
      <c r="S23" s="4" t="s">
        <v>37</v>
      </c>
      <c r="T23" s="1" t="s">
        <v>156</v>
      </c>
      <c r="U23" s="5">
        <f t="shared" si="14"/>
        <v>0.2</v>
      </c>
      <c r="V23" s="5">
        <f t="shared" si="15"/>
        <v>1</v>
      </c>
      <c r="W23" s="6">
        <f t="shared" si="16"/>
        <v>296600</v>
      </c>
      <c r="X23" s="7" t="s">
        <v>72</v>
      </c>
      <c r="Y23" s="6">
        <f t="shared" si="17"/>
        <v>355920</v>
      </c>
      <c r="Z23" s="4" t="s">
        <v>150</v>
      </c>
    </row>
    <row r="24">
      <c r="A24" s="1">
        <v>222315.0</v>
      </c>
      <c r="B24" s="1" t="s">
        <v>157</v>
      </c>
      <c r="C24" s="1" t="s">
        <v>158</v>
      </c>
      <c r="D24" s="1" t="s">
        <v>28</v>
      </c>
      <c r="E24" s="2">
        <v>20000.0</v>
      </c>
      <c r="F24" s="2">
        <v>30000.0</v>
      </c>
      <c r="G24" s="1" t="s">
        <v>29</v>
      </c>
      <c r="H24" s="1" t="s">
        <v>123</v>
      </c>
      <c r="I24" s="1" t="s">
        <v>31</v>
      </c>
      <c r="J24" s="1" t="s">
        <v>31</v>
      </c>
      <c r="K24" s="3"/>
      <c r="L24" s="1" t="s">
        <v>32</v>
      </c>
      <c r="M24" s="1" t="s">
        <v>33</v>
      </c>
      <c r="N24" s="1">
        <v>280.0</v>
      </c>
      <c r="O24" s="1" t="s">
        <v>62</v>
      </c>
      <c r="P24" s="1" t="s">
        <v>35</v>
      </c>
      <c r="Q24" s="1" t="s">
        <v>36</v>
      </c>
      <c r="R24" s="1" t="s">
        <v>35</v>
      </c>
      <c r="S24" s="4" t="s">
        <v>37</v>
      </c>
      <c r="T24" s="1" t="s">
        <v>159</v>
      </c>
      <c r="U24" s="5">
        <f t="shared" si="14"/>
        <v>0.5</v>
      </c>
      <c r="V24" s="5">
        <f t="shared" si="15"/>
        <v>0</v>
      </c>
      <c r="W24" s="6">
        <f t="shared" si="16"/>
        <v>266880</v>
      </c>
      <c r="X24" s="6"/>
      <c r="Y24" s="6">
        <f t="shared" si="17"/>
        <v>400320</v>
      </c>
      <c r="Z24" s="3" t="str">
        <f t="shared" ref="Z24:Z26" si="18">IF(Y24&lt;100000,"abaixo de R$100.000",IF(AND(Y24&gt;=100000,Y24&lt;200000),"R$100.000 - R$200.000",IF(AND(Y24&gt;=200000,Y24&lt;300000),"R$200.000 - R$300.000",IF(AND(Y24&gt;=300000,Y24&lt;400000),"R$300.000 - R$400.000",IF(AND(Y24&gt;=400000,Y24&lt;500000),"R$400.000 - R$500.000",IF(AND(Y24&gt;=500000,Y24&lt;600000),"R$500.000 - R$600.000",IF(AND(Y24&gt;=600000,Y24&lt;700000),"R$600.000 - R$700.000",IF(AND(Y24&gt;=700000,Y24&lt;800000),"R$700.000 - R$800.000",IF(AND(Y24&gt;=800000,Y24&lt;900000),"R$800.000 - R$900.000","Superior a R$900.000")))))))))</f>
        <v>R$400.000 - R$500.000</v>
      </c>
    </row>
    <row r="25">
      <c r="A25" s="1">
        <v>216193.0</v>
      </c>
      <c r="B25" s="1" t="s">
        <v>160</v>
      </c>
      <c r="C25" s="1" t="s">
        <v>161</v>
      </c>
      <c r="D25" s="1" t="s">
        <v>28</v>
      </c>
      <c r="E25" s="2">
        <v>20000.0</v>
      </c>
      <c r="F25" s="2">
        <v>30000.0</v>
      </c>
      <c r="G25" s="1" t="s">
        <v>29</v>
      </c>
      <c r="H25" s="1" t="s">
        <v>123</v>
      </c>
      <c r="I25" s="1" t="s">
        <v>99</v>
      </c>
      <c r="J25" s="1" t="s">
        <v>31</v>
      </c>
      <c r="K25" s="3"/>
      <c r="L25" s="1" t="s">
        <v>51</v>
      </c>
      <c r="M25" s="1" t="s">
        <v>52</v>
      </c>
      <c r="N25" s="1">
        <v>80000.0</v>
      </c>
      <c r="O25" s="1" t="s">
        <v>70</v>
      </c>
      <c r="P25" s="1" t="s">
        <v>53</v>
      </c>
      <c r="Q25" s="1" t="s">
        <v>36</v>
      </c>
      <c r="R25" s="1" t="s">
        <v>35</v>
      </c>
      <c r="S25" s="4" t="s">
        <v>37</v>
      </c>
      <c r="T25" s="1" t="s">
        <v>162</v>
      </c>
      <c r="U25" s="5">
        <f t="shared" si="14"/>
        <v>0.5</v>
      </c>
      <c r="V25" s="5">
        <f t="shared" si="15"/>
        <v>4</v>
      </c>
      <c r="W25" s="6">
        <f t="shared" si="16"/>
        <v>346600</v>
      </c>
      <c r="X25" s="6"/>
      <c r="Y25" s="6">
        <f t="shared" si="17"/>
        <v>519900</v>
      </c>
      <c r="Z25" s="3" t="str">
        <f t="shared" si="18"/>
        <v>R$500.000 - R$600.000</v>
      </c>
    </row>
    <row r="26">
      <c r="A26" s="1">
        <v>103617.0</v>
      </c>
      <c r="B26" s="1" t="s">
        <v>163</v>
      </c>
      <c r="C26" s="1" t="s">
        <v>164</v>
      </c>
      <c r="D26" s="1" t="s">
        <v>28</v>
      </c>
      <c r="E26" s="2">
        <v>36000.0</v>
      </c>
      <c r="F26" s="2">
        <v>45000.0</v>
      </c>
      <c r="G26" s="1" t="s">
        <v>29</v>
      </c>
      <c r="H26" s="1" t="s">
        <v>165</v>
      </c>
      <c r="I26" s="1" t="s">
        <v>42</v>
      </c>
      <c r="J26" s="1" t="s">
        <v>31</v>
      </c>
      <c r="K26" s="3"/>
      <c r="L26" s="1" t="s">
        <v>51</v>
      </c>
      <c r="M26" s="1" t="s">
        <v>52</v>
      </c>
      <c r="N26" s="1">
        <v>108000.0</v>
      </c>
      <c r="O26" s="1" t="s">
        <v>44</v>
      </c>
      <c r="P26" s="1" t="s">
        <v>53</v>
      </c>
      <c r="Q26" s="1" t="s">
        <v>54</v>
      </c>
      <c r="R26" s="1" t="s">
        <v>35</v>
      </c>
      <c r="S26" s="4" t="s">
        <v>37</v>
      </c>
      <c r="T26" s="1" t="s">
        <v>166</v>
      </c>
      <c r="U26" s="5">
        <f t="shared" si="14"/>
        <v>0.25</v>
      </c>
      <c r="V26" s="5">
        <f t="shared" si="15"/>
        <v>3</v>
      </c>
      <c r="W26" s="6">
        <f t="shared" si="16"/>
        <v>587880</v>
      </c>
      <c r="X26" s="6" t="str">
        <f>IF(W26&lt;100000,"abaixo de R$100.000",IF(AND(W26&gt;=100000,W26&lt;200000),"R$100.000 - R$200.000",IF(AND(W26&gt;=200000,W26&lt;300000),"R$200.000 - R$300.000",IF(AND(W26&gt;=300000,W26&lt;400000),"R$300.000 - R$400.000",IF(AND(W26&gt;=400000,W26&lt;500000),"R$400.000 - R$500.000",IF(AND(W26&gt;=500000,W26&lt;600000),"R$500.000 - R$600.000",IF(AND(W26&gt;=600000,W26&lt;700000),"R$600.000 - R$700.000",IF(AND(W26&gt;=700000,W26&lt;800000),"R$700.000 - R$800.000",IF(AND(W26&gt;=800000,W26&lt;900000),"R$800.000 - R$900.000","Superior a R$900.000")))))))))</f>
        <v>R$500.000 - R$600.000</v>
      </c>
      <c r="Y26" s="6">
        <f t="shared" si="17"/>
        <v>734850</v>
      </c>
      <c r="Z26" s="3" t="str">
        <f t="shared" si="18"/>
        <v>R$700.000 - R$800.000</v>
      </c>
    </row>
    <row r="27">
      <c r="A27" s="1">
        <v>113255.0</v>
      </c>
      <c r="B27" s="1" t="s">
        <v>167</v>
      </c>
      <c r="C27" s="1" t="s">
        <v>168</v>
      </c>
      <c r="D27" s="1" t="s">
        <v>28</v>
      </c>
      <c r="E27" s="2">
        <v>18000.0</v>
      </c>
      <c r="F27" s="2">
        <v>21600.0</v>
      </c>
      <c r="G27" s="1" t="s">
        <v>29</v>
      </c>
      <c r="H27" s="1" t="s">
        <v>169</v>
      </c>
      <c r="I27" s="1" t="s">
        <v>170</v>
      </c>
      <c r="J27" s="1" t="s">
        <v>77</v>
      </c>
      <c r="K27" s="3"/>
      <c r="L27" s="1" t="s">
        <v>51</v>
      </c>
      <c r="M27" s="1" t="s">
        <v>52</v>
      </c>
      <c r="N27" s="1">
        <v>3500.0</v>
      </c>
      <c r="O27" s="1" t="s">
        <v>171</v>
      </c>
      <c r="P27" s="1" t="s">
        <v>53</v>
      </c>
      <c r="Q27" s="1" t="s">
        <v>172</v>
      </c>
      <c r="R27" s="1" t="s">
        <v>53</v>
      </c>
      <c r="S27" s="4" t="s">
        <v>63</v>
      </c>
      <c r="T27" s="1" t="s">
        <v>173</v>
      </c>
      <c r="U27" s="5">
        <f t="shared" si="14"/>
        <v>0.2</v>
      </c>
      <c r="V27" s="5">
        <f t="shared" si="15"/>
        <v>0</v>
      </c>
      <c r="W27" s="6">
        <f t="shared" si="16"/>
        <v>243440</v>
      </c>
      <c r="X27" s="7" t="s">
        <v>72</v>
      </c>
      <c r="Y27" s="6">
        <f t="shared" si="17"/>
        <v>292128</v>
      </c>
      <c r="Z27" s="4" t="s">
        <v>150</v>
      </c>
    </row>
    <row r="28">
      <c r="A28" s="1">
        <v>218088.0</v>
      </c>
      <c r="B28" s="1" t="s">
        <v>174</v>
      </c>
      <c r="C28" s="1" t="s">
        <v>175</v>
      </c>
      <c r="D28" s="1" t="s">
        <v>28</v>
      </c>
      <c r="E28" s="2">
        <v>45000.0</v>
      </c>
      <c r="F28" s="2">
        <v>54000.0</v>
      </c>
      <c r="G28" s="1" t="s">
        <v>29</v>
      </c>
      <c r="H28" s="1" t="s">
        <v>176</v>
      </c>
      <c r="I28" s="1" t="s">
        <v>177</v>
      </c>
      <c r="J28" s="1" t="s">
        <v>77</v>
      </c>
      <c r="K28" s="3"/>
      <c r="L28" s="1" t="s">
        <v>51</v>
      </c>
      <c r="M28" s="1" t="s">
        <v>52</v>
      </c>
      <c r="N28" s="1">
        <v>2.0</v>
      </c>
      <c r="O28" s="1" t="s">
        <v>178</v>
      </c>
      <c r="P28" s="1" t="s">
        <v>35</v>
      </c>
      <c r="Q28" s="1" t="s">
        <v>36</v>
      </c>
      <c r="R28" s="1" t="s">
        <v>35</v>
      </c>
      <c r="S28" s="4" t="s">
        <v>63</v>
      </c>
      <c r="T28" s="1" t="s">
        <v>179</v>
      </c>
      <c r="U28" s="5">
        <f t="shared" si="14"/>
        <v>0.2</v>
      </c>
      <c r="V28" s="5">
        <f t="shared" si="15"/>
        <v>0</v>
      </c>
      <c r="W28" s="6">
        <f t="shared" si="16"/>
        <v>599852</v>
      </c>
      <c r="X28" s="6" t="str">
        <f>IF(W28&lt;100000,"abaixo de R$100.000",IF(AND(W28&gt;=100000,W28&lt;200000),"R$100.000 - R$200.000",IF(AND(W28&gt;=200000,W28&lt;300000),"R$200.000 - R$300.000",IF(AND(W28&gt;=300000,W28&lt;400000),"R$300.000 - R$400.000",IF(AND(W28&gt;=400000,W28&lt;500000),"R$400.000 - R$500.000",IF(AND(W28&gt;=500000,W28&lt;600000),"R$500.000 - R$600.000",IF(AND(W28&gt;=600000,W28&lt;700000),"R$600.000 - R$700.000",IF(AND(W28&gt;=700000,W28&lt;800000),"R$700.000 - R$800.000",IF(AND(W28&gt;=800000,W28&lt;900000),"R$800.000 - R$900.000","Superior a R$900.000")))))))))</f>
        <v>R$500.000 - R$600.000</v>
      </c>
      <c r="Y28" s="6">
        <f t="shared" si="17"/>
        <v>719822.4</v>
      </c>
      <c r="Z28" s="3" t="str">
        <f>IF(Y28&lt;100000,"abaixo de R$100.000",IF(AND(Y28&gt;=100000,Y28&lt;200000),"R$100.000 - R$200.000",IF(AND(Y28&gt;=200000,Y28&lt;300000),"R$200.000 - R$300.000",IF(AND(Y28&gt;=300000,Y28&lt;400000),"R$300.000 - R$400.000",IF(AND(Y28&gt;=400000,Y28&lt;500000),"R$400.000 - R$500.000",IF(AND(Y28&gt;=500000,Y28&lt;600000),"R$500.000 - R$600.000",IF(AND(Y28&gt;=600000,Y28&lt;700000),"R$600.000 - R$700.000",IF(AND(Y28&gt;=700000,Y28&lt;800000),"R$700.000 - R$800.000",IF(AND(Y28&gt;=800000,Y28&lt;900000),"R$800.000 - R$900.000","Superior a R$900.000")))))))))</f>
        <v>R$700.000 - R$800.000</v>
      </c>
    </row>
    <row r="29">
      <c r="A29" s="1">
        <v>222912.0</v>
      </c>
      <c r="B29" s="1" t="s">
        <v>180</v>
      </c>
      <c r="C29" s="1" t="s">
        <v>181</v>
      </c>
      <c r="D29" s="1" t="s">
        <v>28</v>
      </c>
      <c r="E29" s="1">
        <v>0.0</v>
      </c>
      <c r="F29" s="1">
        <v>0.0</v>
      </c>
      <c r="G29" s="1" t="s">
        <v>29</v>
      </c>
      <c r="H29" s="1" t="s">
        <v>176</v>
      </c>
      <c r="I29" s="1" t="s">
        <v>182</v>
      </c>
      <c r="J29" s="1" t="s">
        <v>77</v>
      </c>
      <c r="K29" s="3"/>
      <c r="L29" s="1" t="s">
        <v>32</v>
      </c>
      <c r="M29" s="1" t="s">
        <v>52</v>
      </c>
      <c r="N29" s="6"/>
      <c r="O29" s="1" t="s">
        <v>183</v>
      </c>
      <c r="P29" s="1" t="s">
        <v>35</v>
      </c>
      <c r="Q29" s="1" t="s">
        <v>36</v>
      </c>
      <c r="R29" s="1" t="s">
        <v>35</v>
      </c>
      <c r="S29" s="4" t="s">
        <v>63</v>
      </c>
      <c r="T29" s="1" t="s">
        <v>64</v>
      </c>
      <c r="U29" s="5"/>
      <c r="V29" s="5"/>
      <c r="W29" s="6"/>
      <c r="X29" s="7" t="s">
        <v>72</v>
      </c>
      <c r="Y29" s="6"/>
      <c r="Z29" s="4" t="s">
        <v>150</v>
      </c>
    </row>
    <row r="30">
      <c r="A30" s="1">
        <v>209404.0</v>
      </c>
      <c r="B30" s="1" t="s">
        <v>184</v>
      </c>
      <c r="C30" s="1" t="s">
        <v>185</v>
      </c>
      <c r="D30" s="1" t="s">
        <v>28</v>
      </c>
      <c r="E30" s="1">
        <v>0.0</v>
      </c>
      <c r="F30" s="1">
        <v>0.0</v>
      </c>
      <c r="G30" s="1" t="s">
        <v>29</v>
      </c>
      <c r="H30" s="1" t="s">
        <v>176</v>
      </c>
      <c r="I30" s="1" t="s">
        <v>186</v>
      </c>
      <c r="J30" s="1" t="s">
        <v>77</v>
      </c>
      <c r="K30" s="3"/>
      <c r="L30" s="1" t="s">
        <v>51</v>
      </c>
      <c r="M30" s="1" t="s">
        <v>33</v>
      </c>
      <c r="N30" s="6"/>
      <c r="O30" s="1" t="s">
        <v>119</v>
      </c>
      <c r="P30" s="1" t="s">
        <v>53</v>
      </c>
      <c r="Q30" s="1" t="s">
        <v>36</v>
      </c>
      <c r="R30" s="1" t="s">
        <v>35</v>
      </c>
      <c r="S30" s="4" t="s">
        <v>63</v>
      </c>
      <c r="T30" s="1" t="s">
        <v>187</v>
      </c>
      <c r="U30" s="5"/>
      <c r="V30" s="5"/>
      <c r="W30" s="6"/>
      <c r="X30" s="7" t="s">
        <v>72</v>
      </c>
      <c r="Y30" s="6"/>
      <c r="Z30" s="4" t="s">
        <v>150</v>
      </c>
    </row>
    <row r="31">
      <c r="A31" s="1">
        <v>222623.0</v>
      </c>
      <c r="B31" s="1" t="s">
        <v>188</v>
      </c>
      <c r="C31" s="1" t="s">
        <v>189</v>
      </c>
      <c r="D31" s="1" t="s">
        <v>28</v>
      </c>
      <c r="E31" s="1">
        <v>0.0</v>
      </c>
      <c r="F31" s="1">
        <v>0.0</v>
      </c>
      <c r="G31" s="1" t="s">
        <v>29</v>
      </c>
      <c r="H31" s="1" t="s">
        <v>176</v>
      </c>
      <c r="I31" s="1" t="s">
        <v>190</v>
      </c>
      <c r="J31" s="1" t="s">
        <v>77</v>
      </c>
      <c r="K31" s="3"/>
      <c r="L31" s="1" t="s">
        <v>51</v>
      </c>
      <c r="M31" s="1" t="s">
        <v>33</v>
      </c>
      <c r="N31" s="6"/>
      <c r="O31" s="1" t="s">
        <v>44</v>
      </c>
      <c r="P31" s="1" t="s">
        <v>35</v>
      </c>
      <c r="Q31" s="1" t="s">
        <v>36</v>
      </c>
      <c r="R31" s="1" t="s">
        <v>35</v>
      </c>
      <c r="S31" s="4" t="s">
        <v>63</v>
      </c>
      <c r="T31" s="1" t="s">
        <v>191</v>
      </c>
      <c r="U31" s="5"/>
      <c r="V31" s="5"/>
      <c r="W31" s="6"/>
      <c r="X31" s="7" t="s">
        <v>72</v>
      </c>
      <c r="Y31" s="6"/>
      <c r="Z31" s="4" t="s">
        <v>150</v>
      </c>
    </row>
    <row r="32">
      <c r="A32" s="1">
        <v>217254.0</v>
      </c>
      <c r="B32" s="1" t="s">
        <v>192</v>
      </c>
      <c r="C32" s="1" t="s">
        <v>193</v>
      </c>
      <c r="D32" s="1" t="s">
        <v>28</v>
      </c>
      <c r="E32" s="2">
        <v>12000.0</v>
      </c>
      <c r="F32" s="2">
        <v>15000.0</v>
      </c>
      <c r="G32" s="1" t="s">
        <v>29</v>
      </c>
      <c r="H32" s="1" t="s">
        <v>176</v>
      </c>
      <c r="I32" s="1" t="s">
        <v>194</v>
      </c>
      <c r="J32" s="1" t="s">
        <v>77</v>
      </c>
      <c r="K32" s="3"/>
      <c r="L32" s="1" t="s">
        <v>32</v>
      </c>
      <c r="M32" s="1" t="s">
        <v>52</v>
      </c>
      <c r="N32" s="1">
        <v>120000.0</v>
      </c>
      <c r="O32" s="1" t="s">
        <v>62</v>
      </c>
      <c r="P32" s="1" t="s">
        <v>35</v>
      </c>
      <c r="Q32" s="1" t="s">
        <v>36</v>
      </c>
      <c r="R32" s="1" t="s">
        <v>35</v>
      </c>
      <c r="S32" s="4" t="s">
        <v>63</v>
      </c>
      <c r="T32" s="1" t="s">
        <v>195</v>
      </c>
      <c r="U32" s="5">
        <f t="shared" ref="U32:U38" si="19">(F32/E32)-1</f>
        <v>0.25</v>
      </c>
      <c r="V32" s="5">
        <f t="shared" ref="V32:V38" si="20">ROUNDDOWN(N32/E32,0)</f>
        <v>10</v>
      </c>
      <c r="W32" s="6">
        <f t="shared" ref="W32:W38" si="21">13.33*E32+N32</f>
        <v>279960</v>
      </c>
      <c r="X32" s="7" t="s">
        <v>72</v>
      </c>
      <c r="Y32" s="6">
        <f t="shared" ref="Y32:Y38" si="22">W32+(W32*U32)</f>
        <v>349950</v>
      </c>
      <c r="Z32" s="4" t="s">
        <v>150</v>
      </c>
    </row>
    <row r="33">
      <c r="A33" s="1">
        <v>115111.0</v>
      </c>
      <c r="B33" s="1" t="s">
        <v>196</v>
      </c>
      <c r="C33" s="1" t="s">
        <v>197</v>
      </c>
      <c r="D33" s="1" t="s">
        <v>28</v>
      </c>
      <c r="E33" s="2">
        <v>16500.0</v>
      </c>
      <c r="F33" s="2">
        <f>E33</f>
        <v>16500</v>
      </c>
      <c r="G33" s="1" t="s">
        <v>75</v>
      </c>
      <c r="H33" s="1" t="s">
        <v>176</v>
      </c>
      <c r="I33" s="1" t="s">
        <v>198</v>
      </c>
      <c r="J33" s="1" t="s">
        <v>31</v>
      </c>
      <c r="K33" s="1" t="s">
        <v>68</v>
      </c>
      <c r="L33" s="1" t="s">
        <v>51</v>
      </c>
      <c r="M33" s="1" t="s">
        <v>33</v>
      </c>
      <c r="N33" s="1">
        <v>48000.0</v>
      </c>
      <c r="O33" s="1" t="s">
        <v>199</v>
      </c>
      <c r="P33" s="1" t="s">
        <v>35</v>
      </c>
      <c r="Q33" s="1" t="s">
        <v>36</v>
      </c>
      <c r="R33" s="1" t="s">
        <v>35</v>
      </c>
      <c r="S33" s="4" t="s">
        <v>63</v>
      </c>
      <c r="T33" s="1" t="s">
        <v>200</v>
      </c>
      <c r="U33" s="5">
        <f t="shared" si="19"/>
        <v>0</v>
      </c>
      <c r="V33" s="5">
        <f t="shared" si="20"/>
        <v>2</v>
      </c>
      <c r="W33" s="6">
        <f t="shared" si="21"/>
        <v>267945</v>
      </c>
      <c r="X33" s="7" t="s">
        <v>72</v>
      </c>
      <c r="Y33" s="6">
        <f t="shared" si="22"/>
        <v>267945</v>
      </c>
      <c r="Z33" s="4" t="s">
        <v>150</v>
      </c>
    </row>
    <row r="34">
      <c r="A34" s="1">
        <v>222835.0</v>
      </c>
      <c r="B34" s="1" t="s">
        <v>201</v>
      </c>
      <c r="C34" s="1" t="s">
        <v>202</v>
      </c>
      <c r="D34" s="1" t="s">
        <v>28</v>
      </c>
      <c r="E34" s="2">
        <v>20000.0</v>
      </c>
      <c r="F34" s="2">
        <v>30000.0</v>
      </c>
      <c r="G34" s="1" t="s">
        <v>29</v>
      </c>
      <c r="H34" s="1" t="s">
        <v>176</v>
      </c>
      <c r="I34" s="1" t="s">
        <v>203</v>
      </c>
      <c r="J34" s="1" t="s">
        <v>60</v>
      </c>
      <c r="K34" s="3"/>
      <c r="L34" s="1" t="s">
        <v>51</v>
      </c>
      <c r="M34" s="1" t="s">
        <v>33</v>
      </c>
      <c r="N34" s="1">
        <v>85000.0</v>
      </c>
      <c r="O34" s="1" t="s">
        <v>204</v>
      </c>
      <c r="P34" s="1" t="s">
        <v>53</v>
      </c>
      <c r="Q34" s="1" t="s">
        <v>36</v>
      </c>
      <c r="R34" s="1" t="s">
        <v>35</v>
      </c>
      <c r="S34" s="4" t="s">
        <v>63</v>
      </c>
      <c r="T34" s="1" t="s">
        <v>205</v>
      </c>
      <c r="U34" s="5">
        <f t="shared" si="19"/>
        <v>0.5</v>
      </c>
      <c r="V34" s="5">
        <f t="shared" si="20"/>
        <v>4</v>
      </c>
      <c r="W34" s="6">
        <f t="shared" si="21"/>
        <v>351600</v>
      </c>
      <c r="X34" s="6"/>
      <c r="Y34" s="6">
        <f t="shared" si="22"/>
        <v>527400</v>
      </c>
      <c r="Z34" s="3" t="str">
        <f>IF(Y34&lt;100000,"abaixo de R$100.000",IF(AND(Y34&gt;=100000,Y34&lt;200000),"R$100.000 - R$200.000",IF(AND(Y34&gt;=200000,Y34&lt;300000),"R$200.000 - R$300.000",IF(AND(Y34&gt;=300000,Y34&lt;400000),"R$300.000 - R$400.000",IF(AND(Y34&gt;=400000,Y34&lt;500000),"R$400.000 - R$500.000",IF(AND(Y34&gt;=500000,Y34&lt;600000),"R$500.000 - R$600.000",IF(AND(Y34&gt;=600000,Y34&lt;700000),"R$600.000 - R$700.000",IF(AND(Y34&gt;=700000,Y34&lt;800000),"R$700.000 - R$800.000",IF(AND(Y34&gt;=800000,Y34&lt;900000),"R$800.000 - R$900.000","Superior a R$900.000")))))))))</f>
        <v>R$500.000 - R$600.000</v>
      </c>
    </row>
    <row r="35">
      <c r="A35" s="1">
        <v>220470.0</v>
      </c>
      <c r="B35" s="1" t="s">
        <v>206</v>
      </c>
      <c r="C35" s="1" t="s">
        <v>207</v>
      </c>
      <c r="D35" s="1" t="s">
        <v>28</v>
      </c>
      <c r="E35" s="2">
        <v>21000.0</v>
      </c>
      <c r="F35" s="2">
        <f>E35</f>
        <v>21000</v>
      </c>
      <c r="G35" s="1" t="s">
        <v>29</v>
      </c>
      <c r="H35" s="1" t="s">
        <v>176</v>
      </c>
      <c r="I35" s="1" t="s">
        <v>208</v>
      </c>
      <c r="J35" s="1" t="s">
        <v>77</v>
      </c>
      <c r="K35" s="3"/>
      <c r="L35" s="1" t="s">
        <v>51</v>
      </c>
      <c r="M35" s="1" t="s">
        <v>52</v>
      </c>
      <c r="N35" s="1">
        <v>21000.0</v>
      </c>
      <c r="O35" s="1" t="s">
        <v>199</v>
      </c>
      <c r="P35" s="1" t="s">
        <v>35</v>
      </c>
      <c r="Q35" s="1" t="s">
        <v>36</v>
      </c>
      <c r="R35" s="1" t="s">
        <v>35</v>
      </c>
      <c r="S35" s="4" t="s">
        <v>63</v>
      </c>
      <c r="T35" s="1" t="s">
        <v>209</v>
      </c>
      <c r="U35" s="5">
        <f t="shared" si="19"/>
        <v>0</v>
      </c>
      <c r="V35" s="5">
        <f t="shared" si="20"/>
        <v>1</v>
      </c>
      <c r="W35" s="6">
        <f t="shared" si="21"/>
        <v>300930</v>
      </c>
      <c r="X35" s="7" t="s">
        <v>72</v>
      </c>
      <c r="Y35" s="6">
        <f t="shared" si="22"/>
        <v>300930</v>
      </c>
      <c r="Z35" s="4" t="s">
        <v>150</v>
      </c>
    </row>
    <row r="36">
      <c r="A36" s="1">
        <v>212412.0</v>
      </c>
      <c r="B36" s="1" t="s">
        <v>210</v>
      </c>
      <c r="C36" s="1" t="s">
        <v>211</v>
      </c>
      <c r="D36" s="1" t="s">
        <v>28</v>
      </c>
      <c r="E36" s="2">
        <v>25000.0</v>
      </c>
      <c r="F36" s="2">
        <v>30000.0</v>
      </c>
      <c r="G36" s="1" t="s">
        <v>29</v>
      </c>
      <c r="H36" s="1" t="s">
        <v>176</v>
      </c>
      <c r="I36" s="1" t="s">
        <v>212</v>
      </c>
      <c r="J36" s="1" t="s">
        <v>60</v>
      </c>
      <c r="K36" s="3"/>
      <c r="L36" s="1" t="s">
        <v>51</v>
      </c>
      <c r="M36" s="1" t="s">
        <v>33</v>
      </c>
      <c r="N36" s="1">
        <v>24000.0</v>
      </c>
      <c r="O36" s="1" t="s">
        <v>119</v>
      </c>
      <c r="P36" s="1" t="s">
        <v>53</v>
      </c>
      <c r="Q36" s="1" t="s">
        <v>54</v>
      </c>
      <c r="R36" s="1" t="s">
        <v>53</v>
      </c>
      <c r="S36" s="4" t="s">
        <v>63</v>
      </c>
      <c r="T36" s="1" t="s">
        <v>213</v>
      </c>
      <c r="U36" s="5">
        <f t="shared" si="19"/>
        <v>0.2</v>
      </c>
      <c r="V36" s="5">
        <f t="shared" si="20"/>
        <v>0</v>
      </c>
      <c r="W36" s="6">
        <f t="shared" si="21"/>
        <v>357250</v>
      </c>
      <c r="X36" s="6"/>
      <c r="Y36" s="6">
        <f t="shared" si="22"/>
        <v>428700</v>
      </c>
      <c r="Z36" s="3" t="str">
        <f t="shared" ref="Z36:Z38" si="23">IF(Y36&lt;100000,"abaixo de R$100.000",IF(AND(Y36&gt;=100000,Y36&lt;200000),"R$100.000 - R$200.000",IF(AND(Y36&gt;=200000,Y36&lt;300000),"R$200.000 - R$300.000",IF(AND(Y36&gt;=300000,Y36&lt;400000),"R$300.000 - R$400.000",IF(AND(Y36&gt;=400000,Y36&lt;500000),"R$400.000 - R$500.000",IF(AND(Y36&gt;=500000,Y36&lt;600000),"R$500.000 - R$600.000",IF(AND(Y36&gt;=600000,Y36&lt;700000),"R$600.000 - R$700.000",IF(AND(Y36&gt;=700000,Y36&lt;800000),"R$700.000 - R$800.000",IF(AND(Y36&gt;=800000,Y36&lt;900000),"R$800.000 - R$900.000","Superior a R$900.000")))))))))</f>
        <v>R$400.000 - R$500.000</v>
      </c>
    </row>
    <row r="37">
      <c r="A37" s="1">
        <v>220124.0</v>
      </c>
      <c r="B37" s="1" t="s">
        <v>214</v>
      </c>
      <c r="C37" s="1" t="s">
        <v>215</v>
      </c>
      <c r="D37" s="1" t="s">
        <v>28</v>
      </c>
      <c r="E37" s="2">
        <v>40000.0</v>
      </c>
      <c r="F37" s="2">
        <v>50000.0</v>
      </c>
      <c r="G37" s="1" t="s">
        <v>29</v>
      </c>
      <c r="H37" s="1" t="s">
        <v>216</v>
      </c>
      <c r="I37" s="1" t="s">
        <v>217</v>
      </c>
      <c r="J37" s="1" t="s">
        <v>77</v>
      </c>
      <c r="K37" s="3"/>
      <c r="L37" s="1" t="s">
        <v>51</v>
      </c>
      <c r="M37" s="1" t="s">
        <v>33</v>
      </c>
      <c r="N37" s="1">
        <v>20000.0</v>
      </c>
      <c r="O37" s="1" t="s">
        <v>218</v>
      </c>
      <c r="P37" s="1" t="s">
        <v>35</v>
      </c>
      <c r="Q37" s="1" t="s">
        <v>36</v>
      </c>
      <c r="R37" s="1" t="s">
        <v>35</v>
      </c>
      <c r="S37" s="4" t="s">
        <v>37</v>
      </c>
      <c r="T37" s="1" t="s">
        <v>219</v>
      </c>
      <c r="U37" s="5">
        <f t="shared" si="19"/>
        <v>0.25</v>
      </c>
      <c r="V37" s="5">
        <f t="shared" si="20"/>
        <v>0</v>
      </c>
      <c r="W37" s="6">
        <f t="shared" si="21"/>
        <v>553200</v>
      </c>
      <c r="X37" s="6" t="str">
        <f t="shared" ref="X37:X38" si="24">IF(W37&lt;100000,"abaixo de R$100.000",IF(AND(W37&gt;=100000,W37&lt;200000),"R$100.000 - R$200.000",IF(AND(W37&gt;=200000,W37&lt;300000),"R$200.000 - R$300.000",IF(AND(W37&gt;=300000,W37&lt;400000),"R$300.000 - R$400.000",IF(AND(W37&gt;=400000,W37&lt;500000),"R$400.000 - R$500.000",IF(AND(W37&gt;=500000,W37&lt;600000),"R$500.000 - R$600.000",IF(AND(W37&gt;=600000,W37&lt;700000),"R$600.000 - R$700.000",IF(AND(W37&gt;=700000,W37&lt;800000),"R$700.000 - R$800.000",IF(AND(W37&gt;=800000,W37&lt;900000),"R$800.000 - R$900.000","Superior a R$900.000")))))))))</f>
        <v>R$500.000 - R$600.000</v>
      </c>
      <c r="Y37" s="6">
        <f t="shared" si="22"/>
        <v>691500</v>
      </c>
      <c r="Z37" s="3" t="str">
        <f t="shared" si="23"/>
        <v>R$600.000 - R$700.000</v>
      </c>
    </row>
    <row r="38">
      <c r="A38" s="1">
        <v>222914.0</v>
      </c>
      <c r="B38" s="1" t="s">
        <v>220</v>
      </c>
      <c r="C38" s="1">
        <v>32000.0</v>
      </c>
      <c r="D38" s="1" t="s">
        <v>28</v>
      </c>
      <c r="E38" s="2">
        <v>36000.0</v>
      </c>
      <c r="F38" s="2">
        <v>36000.0</v>
      </c>
      <c r="G38" s="1" t="s">
        <v>29</v>
      </c>
      <c r="H38" s="1" t="s">
        <v>221</v>
      </c>
      <c r="I38" s="1" t="s">
        <v>222</v>
      </c>
      <c r="J38" s="1" t="s">
        <v>31</v>
      </c>
      <c r="K38" s="3"/>
      <c r="L38" s="1" t="s">
        <v>51</v>
      </c>
      <c r="M38" s="1" t="s">
        <v>52</v>
      </c>
      <c r="N38" s="1">
        <v>20000.0</v>
      </c>
      <c r="O38" s="1" t="s">
        <v>140</v>
      </c>
      <c r="P38" s="1" t="s">
        <v>53</v>
      </c>
      <c r="Q38" s="1" t="s">
        <v>36</v>
      </c>
      <c r="R38" s="1" t="s">
        <v>35</v>
      </c>
      <c r="S38" s="4" t="s">
        <v>37</v>
      </c>
      <c r="T38" s="1" t="s">
        <v>223</v>
      </c>
      <c r="U38" s="5">
        <f t="shared" si="19"/>
        <v>0</v>
      </c>
      <c r="V38" s="5">
        <f t="shared" si="20"/>
        <v>0</v>
      </c>
      <c r="W38" s="6">
        <f t="shared" si="21"/>
        <v>499880</v>
      </c>
      <c r="X38" s="6" t="str">
        <f t="shared" si="24"/>
        <v>R$400.000 - R$500.000</v>
      </c>
      <c r="Y38" s="6">
        <f t="shared" si="22"/>
        <v>499880</v>
      </c>
      <c r="Z38" s="3" t="str">
        <f t="shared" si="23"/>
        <v>R$400.000 - R$500.000</v>
      </c>
    </row>
    <row r="39">
      <c r="A39" s="1">
        <v>222908.0</v>
      </c>
      <c r="B39" s="1" t="s">
        <v>224</v>
      </c>
      <c r="C39" s="2">
        <v>16000.0</v>
      </c>
      <c r="D39" s="1" t="s">
        <v>28</v>
      </c>
      <c r="E39" s="1">
        <v>0.0</v>
      </c>
      <c r="F39" s="1">
        <v>0.0</v>
      </c>
      <c r="G39" s="1" t="s">
        <v>29</v>
      </c>
      <c r="H39" s="1" t="s">
        <v>221</v>
      </c>
      <c r="I39" s="1" t="s">
        <v>225</v>
      </c>
      <c r="J39" s="1" t="s">
        <v>31</v>
      </c>
      <c r="K39" s="3"/>
      <c r="L39" s="1" t="s">
        <v>32</v>
      </c>
      <c r="M39" s="1" t="s">
        <v>33</v>
      </c>
      <c r="N39" s="6"/>
      <c r="O39" s="1" t="s">
        <v>34</v>
      </c>
      <c r="P39" s="1" t="s">
        <v>35</v>
      </c>
      <c r="Q39" s="1" t="s">
        <v>36</v>
      </c>
      <c r="R39" s="1" t="s">
        <v>35</v>
      </c>
      <c r="S39" s="4" t="s">
        <v>37</v>
      </c>
      <c r="T39" s="1" t="s">
        <v>173</v>
      </c>
      <c r="U39" s="5"/>
      <c r="V39" s="5"/>
      <c r="W39" s="6"/>
      <c r="X39" s="7" t="s">
        <v>72</v>
      </c>
      <c r="Y39" s="6"/>
      <c r="Z39" s="4" t="s">
        <v>150</v>
      </c>
    </row>
    <row r="40">
      <c r="A40" s="1">
        <v>222775.0</v>
      </c>
      <c r="B40" s="1" t="s">
        <v>226</v>
      </c>
      <c r="C40" s="1" t="s">
        <v>227</v>
      </c>
      <c r="D40" s="1" t="s">
        <v>28</v>
      </c>
      <c r="E40" s="1">
        <v>0.0</v>
      </c>
      <c r="F40" s="1">
        <v>0.0</v>
      </c>
      <c r="G40" s="1" t="s">
        <v>29</v>
      </c>
      <c r="H40" s="1" t="s">
        <v>228</v>
      </c>
      <c r="I40" s="1" t="s">
        <v>60</v>
      </c>
      <c r="J40" s="1" t="s">
        <v>60</v>
      </c>
      <c r="K40" s="3"/>
      <c r="L40" s="1" t="s">
        <v>61</v>
      </c>
      <c r="M40" s="1" t="s">
        <v>52</v>
      </c>
      <c r="N40" s="8"/>
      <c r="O40" s="1" t="s">
        <v>94</v>
      </c>
      <c r="P40" s="1" t="s">
        <v>35</v>
      </c>
      <c r="Q40" s="1" t="s">
        <v>36</v>
      </c>
      <c r="R40" s="1" t="s">
        <v>35</v>
      </c>
      <c r="S40" s="4" t="s">
        <v>37</v>
      </c>
      <c r="T40" s="1" t="s">
        <v>229</v>
      </c>
      <c r="U40" s="5"/>
      <c r="V40" s="5"/>
      <c r="W40" s="6"/>
      <c r="X40" s="7" t="s">
        <v>72</v>
      </c>
      <c r="Y40" s="6"/>
      <c r="Z40" s="4" t="s">
        <v>150</v>
      </c>
    </row>
    <row r="41">
      <c r="A41" s="1">
        <v>222323.0</v>
      </c>
      <c r="B41" s="1" t="s">
        <v>230</v>
      </c>
      <c r="C41" s="1" t="s">
        <v>231</v>
      </c>
      <c r="D41" s="1" t="s">
        <v>28</v>
      </c>
      <c r="E41" s="1">
        <v>0.0</v>
      </c>
      <c r="F41" s="1">
        <v>0.0</v>
      </c>
      <c r="G41" s="1" t="s">
        <v>29</v>
      </c>
      <c r="H41" s="1" t="s">
        <v>232</v>
      </c>
      <c r="I41" s="1" t="s">
        <v>233</v>
      </c>
      <c r="J41" s="1" t="s">
        <v>60</v>
      </c>
      <c r="K41" s="3"/>
      <c r="L41" s="1" t="s">
        <v>51</v>
      </c>
      <c r="M41" s="1" t="s">
        <v>33</v>
      </c>
      <c r="N41" s="3"/>
      <c r="O41" s="1" t="s">
        <v>94</v>
      </c>
      <c r="P41" s="1" t="s">
        <v>53</v>
      </c>
      <c r="Q41" s="1" t="s">
        <v>36</v>
      </c>
      <c r="R41" s="1" t="s">
        <v>53</v>
      </c>
      <c r="S41" s="4" t="s">
        <v>37</v>
      </c>
      <c r="T41" s="1" t="s">
        <v>234</v>
      </c>
      <c r="U41" s="5"/>
      <c r="V41" s="5"/>
      <c r="W41" s="6"/>
      <c r="X41" s="4" t="s">
        <v>150</v>
      </c>
      <c r="Y41" s="6"/>
      <c r="Z41" s="4" t="s">
        <v>150</v>
      </c>
    </row>
    <row r="42">
      <c r="A42" s="1">
        <v>114379.0</v>
      </c>
      <c r="B42" s="1" t="s">
        <v>235</v>
      </c>
      <c r="C42" s="1" t="s">
        <v>236</v>
      </c>
      <c r="D42" s="1" t="s">
        <v>28</v>
      </c>
      <c r="E42" s="2">
        <v>30000.0</v>
      </c>
      <c r="F42" s="2">
        <v>35000.0</v>
      </c>
      <c r="G42" s="1" t="s">
        <v>29</v>
      </c>
      <c r="H42" s="1" t="s">
        <v>237</v>
      </c>
      <c r="I42" s="1" t="s">
        <v>238</v>
      </c>
      <c r="J42" s="1" t="s">
        <v>77</v>
      </c>
      <c r="K42" s="1" t="s">
        <v>239</v>
      </c>
      <c r="L42" s="1" t="s">
        <v>32</v>
      </c>
      <c r="M42" s="1" t="s">
        <v>33</v>
      </c>
      <c r="N42" s="1">
        <v>60000.0</v>
      </c>
      <c r="O42" s="1" t="s">
        <v>78</v>
      </c>
      <c r="P42" s="1" t="s">
        <v>35</v>
      </c>
      <c r="Q42" s="1" t="s">
        <v>54</v>
      </c>
      <c r="R42" s="1" t="s">
        <v>35</v>
      </c>
      <c r="S42" s="4" t="s">
        <v>63</v>
      </c>
      <c r="T42" s="1" t="s">
        <v>240</v>
      </c>
      <c r="U42" s="5">
        <f t="shared" ref="U42:U45" si="25">(F42/E42)-1</f>
        <v>0.1666666667</v>
      </c>
      <c r="V42" s="5">
        <f t="shared" ref="V42:V45" si="26">ROUNDDOWN(N42/E42,0)</f>
        <v>2</v>
      </c>
      <c r="W42" s="6">
        <f t="shared" ref="W42:W45" si="27">13.33*E42+N42</f>
        <v>459900</v>
      </c>
      <c r="X42" s="6" t="str">
        <f>IF(W42&lt;100000,"abaixo de R$100.000",IF(AND(W42&gt;=100000,W42&lt;200000),"R$100.000 - R$200.000",IF(AND(W42&gt;=200000,W42&lt;300000),"R$200.000 - R$300.000",IF(AND(W42&gt;=300000,W42&lt;400000),"R$300.000 - R$400.000",IF(AND(W42&gt;=400000,W42&lt;500000),"R$400.000 - R$500.000",IF(AND(W42&gt;=500000,W42&lt;600000),"R$500.000 - R$600.000",IF(AND(W42&gt;=600000,W42&lt;700000),"R$600.000 - R$700.000",IF(AND(W42&gt;=700000,W42&lt;800000),"R$700.000 - R$800.000",IF(AND(W42&gt;=800000,W42&lt;900000),"R$800.000 - R$900.000","Superior a R$900.000")))))))))</f>
        <v>R$400.000 - R$500.000</v>
      </c>
      <c r="Y42" s="6">
        <f t="shared" ref="Y42:Y45" si="28">W42+(W42*U42)</f>
        <v>536550</v>
      </c>
      <c r="Z42" s="3" t="str">
        <f>IF(Y42&lt;100000,"abaixo de R$100.000",IF(AND(Y42&gt;=100000,Y42&lt;200000),"R$100.000 - R$200.000",IF(AND(Y42&gt;=200000,Y42&lt;300000),"R$200.000 - R$300.000",IF(AND(Y42&gt;=300000,Y42&lt;400000),"R$300.000 - R$400.000",IF(AND(Y42&gt;=400000,Y42&lt;500000),"R$400.000 - R$500.000",IF(AND(Y42&gt;=500000,Y42&lt;600000),"R$500.000 - R$600.000",IF(AND(Y42&gt;=600000,Y42&lt;700000),"R$600.000 - R$700.000",IF(AND(Y42&gt;=700000,Y42&lt;800000),"R$700.000 - R$800.000",IF(AND(Y42&gt;=800000,Y42&lt;900000),"R$800.000 - R$900.000","Superior a R$900.000")))))))))</f>
        <v>R$500.000 - R$600.000</v>
      </c>
    </row>
    <row r="43">
      <c r="A43" s="1">
        <v>108869.0</v>
      </c>
      <c r="B43" s="1" t="s">
        <v>241</v>
      </c>
      <c r="C43" s="1" t="s">
        <v>242</v>
      </c>
      <c r="D43" s="1" t="s">
        <v>28</v>
      </c>
      <c r="E43" s="2">
        <v>18000.0</v>
      </c>
      <c r="F43" s="2">
        <f>E43*1.2</f>
        <v>21600</v>
      </c>
      <c r="G43" s="1" t="s">
        <v>29</v>
      </c>
      <c r="H43" s="1" t="s">
        <v>237</v>
      </c>
      <c r="I43" s="1" t="s">
        <v>243</v>
      </c>
      <c r="J43" s="1" t="s">
        <v>50</v>
      </c>
      <c r="K43" s="3"/>
      <c r="L43" s="1" t="s">
        <v>61</v>
      </c>
      <c r="M43" s="1" t="s">
        <v>33</v>
      </c>
      <c r="N43" s="1">
        <v>1.0</v>
      </c>
      <c r="O43" s="1" t="s">
        <v>119</v>
      </c>
      <c r="P43" s="1" t="s">
        <v>53</v>
      </c>
      <c r="Q43" s="1" t="s">
        <v>172</v>
      </c>
      <c r="R43" s="1" t="s">
        <v>35</v>
      </c>
      <c r="S43" s="4" t="s">
        <v>63</v>
      </c>
      <c r="T43" s="1" t="s">
        <v>244</v>
      </c>
      <c r="U43" s="5">
        <f t="shared" si="25"/>
        <v>0.2</v>
      </c>
      <c r="V43" s="5">
        <f t="shared" si="26"/>
        <v>0</v>
      </c>
      <c r="W43" s="6">
        <f t="shared" si="27"/>
        <v>239941</v>
      </c>
      <c r="X43" s="4" t="s">
        <v>150</v>
      </c>
      <c r="Y43" s="6">
        <f t="shared" si="28"/>
        <v>287929.2</v>
      </c>
      <c r="Z43" s="4" t="s">
        <v>150</v>
      </c>
    </row>
    <row r="44">
      <c r="A44" s="1">
        <v>222063.0</v>
      </c>
      <c r="B44" s="1" t="s">
        <v>245</v>
      </c>
      <c r="C44" s="1" t="s">
        <v>246</v>
      </c>
      <c r="D44" s="1" t="s">
        <v>28</v>
      </c>
      <c r="E44" s="2">
        <v>36000.0</v>
      </c>
      <c r="F44" s="2">
        <v>36000.0</v>
      </c>
      <c r="G44" s="1" t="s">
        <v>29</v>
      </c>
      <c r="H44" s="1" t="s">
        <v>247</v>
      </c>
      <c r="I44" s="1" t="s">
        <v>42</v>
      </c>
      <c r="J44" s="1" t="s">
        <v>31</v>
      </c>
      <c r="K44" s="3"/>
      <c r="L44" s="1" t="s">
        <v>51</v>
      </c>
      <c r="M44" s="1" t="s">
        <v>33</v>
      </c>
      <c r="N44" s="1">
        <v>60000.0</v>
      </c>
      <c r="O44" s="1" t="s">
        <v>44</v>
      </c>
      <c r="P44" s="1" t="s">
        <v>53</v>
      </c>
      <c r="Q44" s="1" t="s">
        <v>36</v>
      </c>
      <c r="R44" s="1" t="s">
        <v>35</v>
      </c>
      <c r="S44" s="4" t="s">
        <v>63</v>
      </c>
      <c r="T44" s="1" t="s">
        <v>248</v>
      </c>
      <c r="U44" s="5">
        <f t="shared" si="25"/>
        <v>0</v>
      </c>
      <c r="V44" s="5">
        <f t="shared" si="26"/>
        <v>1</v>
      </c>
      <c r="W44" s="6">
        <f t="shared" si="27"/>
        <v>539880</v>
      </c>
      <c r="X44" s="6" t="str">
        <f t="shared" ref="X44:X45" si="29">IF(W44&lt;100000,"abaixo de R$100.000",IF(AND(W44&gt;=100000,W44&lt;200000),"R$100.000 - R$200.000",IF(AND(W44&gt;=200000,W44&lt;300000),"R$200.000 - R$300.000",IF(AND(W44&gt;=300000,W44&lt;400000),"R$300.000 - R$400.000",IF(AND(W44&gt;=400000,W44&lt;500000),"R$400.000 - R$500.000",IF(AND(W44&gt;=500000,W44&lt;600000),"R$500.000 - R$600.000",IF(AND(W44&gt;=600000,W44&lt;700000),"R$600.000 - R$700.000",IF(AND(W44&gt;=700000,W44&lt;800000),"R$700.000 - R$800.000",IF(AND(W44&gt;=800000,W44&lt;900000),"R$800.000 - R$900.000","Superior a R$900.000")))))))))</f>
        <v>R$500.000 - R$600.000</v>
      </c>
      <c r="Y44" s="6">
        <f t="shared" si="28"/>
        <v>539880</v>
      </c>
      <c r="Z44" s="3" t="str">
        <f t="shared" ref="Z44:Z45" si="30">IF(Y44&lt;100000,"abaixo de R$100.000",IF(AND(Y44&gt;=100000,Y44&lt;200000),"R$100.000 - R$200.000",IF(AND(Y44&gt;=200000,Y44&lt;300000),"R$200.000 - R$300.000",IF(AND(Y44&gt;=300000,Y44&lt;400000),"R$300.000 - R$400.000",IF(AND(Y44&gt;=400000,Y44&lt;500000),"R$400.000 - R$500.000",IF(AND(Y44&gt;=500000,Y44&lt;600000),"R$500.000 - R$600.000",IF(AND(Y44&gt;=600000,Y44&lt;700000),"R$600.000 - R$700.000",IF(AND(Y44&gt;=700000,Y44&lt;800000),"R$700.000 - R$800.000",IF(AND(Y44&gt;=800000,Y44&lt;900000),"R$800.000 - R$900.000","Superior a R$900.000")))))))))</f>
        <v>R$500.000 - R$600.000</v>
      </c>
    </row>
    <row r="45">
      <c r="A45" s="1">
        <v>122838.0</v>
      </c>
      <c r="B45" s="1" t="s">
        <v>249</v>
      </c>
      <c r="C45" s="1" t="s">
        <v>250</v>
      </c>
      <c r="D45" s="1" t="s">
        <v>28</v>
      </c>
      <c r="E45" s="2">
        <v>25000.0</v>
      </c>
      <c r="F45" s="2">
        <v>35000.0</v>
      </c>
      <c r="G45" s="1" t="s">
        <v>29</v>
      </c>
      <c r="H45" s="1" t="s">
        <v>247</v>
      </c>
      <c r="I45" s="1" t="s">
        <v>251</v>
      </c>
      <c r="J45" s="1" t="s">
        <v>31</v>
      </c>
      <c r="K45" s="1" t="s">
        <v>68</v>
      </c>
      <c r="L45" s="1" t="s">
        <v>32</v>
      </c>
      <c r="M45" s="1" t="s">
        <v>52</v>
      </c>
      <c r="N45" s="1">
        <v>360000.0</v>
      </c>
      <c r="O45" s="1" t="s">
        <v>135</v>
      </c>
      <c r="P45" s="1" t="s">
        <v>53</v>
      </c>
      <c r="Q45" s="1" t="s">
        <v>36</v>
      </c>
      <c r="R45" s="1" t="s">
        <v>35</v>
      </c>
      <c r="S45" s="4" t="s">
        <v>63</v>
      </c>
      <c r="T45" s="1" t="s">
        <v>252</v>
      </c>
      <c r="U45" s="5">
        <f t="shared" si="25"/>
        <v>0.4</v>
      </c>
      <c r="V45" s="5">
        <f t="shared" si="26"/>
        <v>14</v>
      </c>
      <c r="W45" s="6">
        <f t="shared" si="27"/>
        <v>693250</v>
      </c>
      <c r="X45" s="6" t="str">
        <f t="shared" si="29"/>
        <v>R$600.000 - R$700.000</v>
      </c>
      <c r="Y45" s="6">
        <f t="shared" si="28"/>
        <v>970550</v>
      </c>
      <c r="Z45" s="3" t="str">
        <f t="shared" si="30"/>
        <v>Superior a R$900.000</v>
      </c>
    </row>
    <row r="46">
      <c r="A46" s="1">
        <v>106653.0</v>
      </c>
      <c r="B46" s="1" t="s">
        <v>253</v>
      </c>
      <c r="C46" s="1" t="s">
        <v>254</v>
      </c>
      <c r="D46" s="1" t="s">
        <v>28</v>
      </c>
      <c r="E46" s="1">
        <v>0.0</v>
      </c>
      <c r="F46" s="1">
        <v>0.0</v>
      </c>
      <c r="G46" s="1" t="s">
        <v>29</v>
      </c>
      <c r="H46" s="1" t="s">
        <v>247</v>
      </c>
      <c r="I46" s="1" t="s">
        <v>255</v>
      </c>
      <c r="J46" s="1" t="s">
        <v>77</v>
      </c>
      <c r="K46" s="3"/>
      <c r="L46" s="1" t="s">
        <v>32</v>
      </c>
      <c r="M46" s="1" t="s">
        <v>33</v>
      </c>
      <c r="N46" s="3"/>
      <c r="O46" s="1" t="s">
        <v>62</v>
      </c>
      <c r="P46" s="1" t="s">
        <v>53</v>
      </c>
      <c r="Q46" s="1" t="s">
        <v>36</v>
      </c>
      <c r="R46" s="1" t="s">
        <v>35</v>
      </c>
      <c r="S46" s="4" t="s">
        <v>63</v>
      </c>
      <c r="T46" s="1" t="s">
        <v>256</v>
      </c>
      <c r="U46" s="5"/>
      <c r="V46" s="5"/>
      <c r="W46" s="6"/>
      <c r="X46" s="4" t="s">
        <v>150</v>
      </c>
      <c r="Y46" s="6"/>
      <c r="Z46" s="4" t="s">
        <v>150</v>
      </c>
    </row>
    <row r="47">
      <c r="A47" s="1">
        <v>208341.0</v>
      </c>
      <c r="B47" s="1" t="s">
        <v>257</v>
      </c>
      <c r="C47" s="1" t="s">
        <v>258</v>
      </c>
      <c r="D47" s="1" t="s">
        <v>28</v>
      </c>
      <c r="E47" s="1">
        <v>0.0</v>
      </c>
      <c r="F47" s="1">
        <v>0.0</v>
      </c>
      <c r="G47" s="1" t="s">
        <v>29</v>
      </c>
      <c r="H47" s="1" t="s">
        <v>247</v>
      </c>
      <c r="I47" s="1" t="s">
        <v>109</v>
      </c>
      <c r="J47" s="1" t="s">
        <v>77</v>
      </c>
      <c r="K47" s="3"/>
      <c r="L47" s="1" t="s">
        <v>32</v>
      </c>
      <c r="M47" s="1" t="s">
        <v>52</v>
      </c>
      <c r="N47" s="3"/>
      <c r="O47" s="1" t="s">
        <v>62</v>
      </c>
      <c r="P47" s="1" t="s">
        <v>35</v>
      </c>
      <c r="Q47" s="1" t="s">
        <v>36</v>
      </c>
      <c r="R47" s="1" t="s">
        <v>35</v>
      </c>
      <c r="S47" s="4" t="s">
        <v>63</v>
      </c>
      <c r="T47" s="1" t="s">
        <v>259</v>
      </c>
      <c r="U47" s="5"/>
      <c r="V47" s="5"/>
      <c r="W47" s="6"/>
      <c r="X47" s="4" t="s">
        <v>150</v>
      </c>
      <c r="Y47" s="6"/>
      <c r="Z47" s="4" t="s">
        <v>150</v>
      </c>
    </row>
    <row r="48">
      <c r="A48" s="1">
        <v>155086.0</v>
      </c>
      <c r="B48" s="1" t="s">
        <v>260</v>
      </c>
      <c r="C48" s="1" t="s">
        <v>35</v>
      </c>
      <c r="D48" s="1" t="s">
        <v>28</v>
      </c>
      <c r="E48" s="1">
        <v>0.0</v>
      </c>
      <c r="F48" s="1">
        <v>0.0</v>
      </c>
      <c r="G48" s="1" t="s">
        <v>29</v>
      </c>
      <c r="H48" s="1" t="s">
        <v>247</v>
      </c>
      <c r="I48" s="1" t="s">
        <v>31</v>
      </c>
      <c r="J48" s="1" t="s">
        <v>31</v>
      </c>
      <c r="K48" s="3"/>
      <c r="L48" s="1" t="s">
        <v>32</v>
      </c>
      <c r="M48" s="1" t="s">
        <v>33</v>
      </c>
      <c r="N48" s="3"/>
      <c r="O48" s="1" t="s">
        <v>119</v>
      </c>
      <c r="P48" s="1" t="s">
        <v>35</v>
      </c>
      <c r="Q48" s="1" t="s">
        <v>36</v>
      </c>
      <c r="R48" s="1" t="s">
        <v>35</v>
      </c>
      <c r="S48" s="4" t="s">
        <v>63</v>
      </c>
      <c r="T48" s="1" t="s">
        <v>261</v>
      </c>
      <c r="U48" s="5"/>
      <c r="V48" s="5"/>
      <c r="W48" s="6"/>
      <c r="X48" s="4" t="s">
        <v>150</v>
      </c>
      <c r="Y48" s="6"/>
      <c r="Z48" s="4" t="s">
        <v>150</v>
      </c>
    </row>
    <row r="49">
      <c r="A49" s="1">
        <v>221750.0</v>
      </c>
      <c r="B49" s="1" t="s">
        <v>262</v>
      </c>
      <c r="C49" s="1" t="s">
        <v>263</v>
      </c>
      <c r="D49" s="1" t="s">
        <v>28</v>
      </c>
      <c r="E49" s="2">
        <v>12000.0</v>
      </c>
      <c r="F49" s="2">
        <v>14000.0</v>
      </c>
      <c r="G49" s="1" t="s">
        <v>29</v>
      </c>
      <c r="H49" s="1" t="s">
        <v>247</v>
      </c>
      <c r="I49" s="1" t="s">
        <v>99</v>
      </c>
      <c r="J49" s="1" t="s">
        <v>31</v>
      </c>
      <c r="K49" s="3"/>
      <c r="L49" s="1" t="s">
        <v>51</v>
      </c>
      <c r="M49" s="1" t="s">
        <v>52</v>
      </c>
      <c r="N49" s="1">
        <v>120000.0</v>
      </c>
      <c r="O49" s="1" t="s">
        <v>78</v>
      </c>
      <c r="P49" s="1" t="s">
        <v>35</v>
      </c>
      <c r="Q49" s="1" t="s">
        <v>36</v>
      </c>
      <c r="R49" s="1" t="s">
        <v>35</v>
      </c>
      <c r="S49" s="4" t="s">
        <v>63</v>
      </c>
      <c r="T49" s="1" t="s">
        <v>264</v>
      </c>
      <c r="U49" s="5">
        <f t="shared" ref="U49:U50" si="31">(F49/E49)-1</f>
        <v>0.1666666667</v>
      </c>
      <c r="V49" s="5">
        <f t="shared" ref="V49:V50" si="32">ROUNDDOWN(N49/E49,0)</f>
        <v>10</v>
      </c>
      <c r="W49" s="6">
        <f t="shared" ref="W49:W50" si="33">13.33*E49+N49</f>
        <v>279960</v>
      </c>
      <c r="X49" s="4" t="s">
        <v>150</v>
      </c>
      <c r="Y49" s="6">
        <f t="shared" ref="Y49:Y50" si="34">W49+(W49*U49)</f>
        <v>326620</v>
      </c>
      <c r="Z49" s="4" t="s">
        <v>150</v>
      </c>
    </row>
    <row r="50">
      <c r="A50" s="1">
        <v>139613.0</v>
      </c>
      <c r="B50" s="1" t="s">
        <v>265</v>
      </c>
      <c r="C50" s="1" t="s">
        <v>266</v>
      </c>
      <c r="D50" s="1" t="s">
        <v>28</v>
      </c>
      <c r="E50" s="2">
        <v>15000.0</v>
      </c>
      <c r="F50" s="2">
        <v>18000.0</v>
      </c>
      <c r="G50" s="1" t="s">
        <v>29</v>
      </c>
      <c r="H50" s="1" t="s">
        <v>247</v>
      </c>
      <c r="I50" s="1" t="s">
        <v>267</v>
      </c>
      <c r="J50" s="1" t="s">
        <v>60</v>
      </c>
      <c r="K50" s="1" t="s">
        <v>268</v>
      </c>
      <c r="L50" s="1" t="s">
        <v>32</v>
      </c>
      <c r="M50" s="1" t="s">
        <v>52</v>
      </c>
      <c r="N50" s="1">
        <v>10000.0</v>
      </c>
      <c r="O50" s="1" t="s">
        <v>78</v>
      </c>
      <c r="P50" s="1" t="s">
        <v>53</v>
      </c>
      <c r="Q50" s="1" t="s">
        <v>36</v>
      </c>
      <c r="R50" s="1" t="s">
        <v>35</v>
      </c>
      <c r="S50" s="4" t="s">
        <v>63</v>
      </c>
      <c r="T50" s="1" t="s">
        <v>269</v>
      </c>
      <c r="U50" s="5">
        <f t="shared" si="31"/>
        <v>0.2</v>
      </c>
      <c r="V50" s="5">
        <f t="shared" si="32"/>
        <v>0</v>
      </c>
      <c r="W50" s="6">
        <f t="shared" si="33"/>
        <v>209950</v>
      </c>
      <c r="X50" s="4" t="s">
        <v>150</v>
      </c>
      <c r="Y50" s="6">
        <f t="shared" si="34"/>
        <v>251940</v>
      </c>
      <c r="Z50" s="4" t="s">
        <v>150</v>
      </c>
    </row>
    <row r="51">
      <c r="A51" s="1">
        <v>222636.0</v>
      </c>
      <c r="B51" s="1" t="s">
        <v>270</v>
      </c>
      <c r="C51" s="1" t="s">
        <v>271</v>
      </c>
      <c r="D51" s="1" t="s">
        <v>28</v>
      </c>
      <c r="E51" s="1">
        <v>0.0</v>
      </c>
      <c r="F51" s="1">
        <v>0.0</v>
      </c>
      <c r="G51" s="1" t="s">
        <v>29</v>
      </c>
      <c r="H51" s="1" t="s">
        <v>133</v>
      </c>
      <c r="I51" s="1" t="s">
        <v>272</v>
      </c>
      <c r="J51" s="1" t="s">
        <v>77</v>
      </c>
      <c r="K51" s="3"/>
      <c r="L51" s="1" t="s">
        <v>32</v>
      </c>
      <c r="M51" s="1" t="s">
        <v>52</v>
      </c>
      <c r="N51" s="6"/>
      <c r="O51" s="1" t="s">
        <v>199</v>
      </c>
      <c r="P51" s="1" t="s">
        <v>53</v>
      </c>
      <c r="Q51" s="1" t="s">
        <v>36</v>
      </c>
      <c r="R51" s="1" t="s">
        <v>53</v>
      </c>
      <c r="S51" s="4" t="s">
        <v>63</v>
      </c>
      <c r="T51" s="1" t="s">
        <v>273</v>
      </c>
      <c r="U51" s="5"/>
      <c r="V51" s="5"/>
      <c r="W51" s="6"/>
      <c r="X51" s="4" t="s">
        <v>150</v>
      </c>
      <c r="Y51" s="6"/>
      <c r="Z51" s="4" t="s">
        <v>150</v>
      </c>
    </row>
    <row r="52">
      <c r="A52" s="1">
        <v>221287.0</v>
      </c>
      <c r="B52" s="1" t="s">
        <v>274</v>
      </c>
      <c r="C52" s="1" t="s">
        <v>275</v>
      </c>
      <c r="D52" s="1" t="s">
        <v>28</v>
      </c>
      <c r="E52" s="1">
        <v>0.0</v>
      </c>
      <c r="F52" s="1">
        <v>0.0</v>
      </c>
      <c r="G52" s="1" t="s">
        <v>29</v>
      </c>
      <c r="H52" s="1" t="s">
        <v>276</v>
      </c>
      <c r="I52" s="1" t="s">
        <v>148</v>
      </c>
      <c r="J52" s="1" t="s">
        <v>77</v>
      </c>
      <c r="K52" s="3"/>
      <c r="L52" s="1" t="s">
        <v>32</v>
      </c>
      <c r="M52" s="1" t="s">
        <v>52</v>
      </c>
      <c r="N52" s="6"/>
      <c r="O52" s="1" t="s">
        <v>178</v>
      </c>
      <c r="P52" s="1" t="s">
        <v>35</v>
      </c>
      <c r="Q52" s="1" t="s">
        <v>36</v>
      </c>
      <c r="R52" s="1" t="s">
        <v>35</v>
      </c>
      <c r="S52" s="4" t="s">
        <v>63</v>
      </c>
      <c r="T52" s="1" t="s">
        <v>277</v>
      </c>
      <c r="U52" s="5"/>
      <c r="V52" s="5"/>
      <c r="W52" s="6"/>
      <c r="X52" s="4" t="s">
        <v>150</v>
      </c>
      <c r="Y52" s="6"/>
      <c r="Z52" s="4" t="s">
        <v>150</v>
      </c>
    </row>
    <row r="53">
      <c r="A53" s="1">
        <v>222617.0</v>
      </c>
      <c r="B53" s="1" t="s">
        <v>278</v>
      </c>
      <c r="C53" s="1" t="s">
        <v>35</v>
      </c>
      <c r="D53" s="1" t="s">
        <v>28</v>
      </c>
      <c r="E53" s="2">
        <v>20000.0</v>
      </c>
      <c r="F53" s="2">
        <v>30000.0</v>
      </c>
      <c r="G53" s="1" t="s">
        <v>29</v>
      </c>
      <c r="H53" s="1" t="s">
        <v>276</v>
      </c>
      <c r="I53" s="1" t="s">
        <v>279</v>
      </c>
      <c r="J53" s="1" t="s">
        <v>77</v>
      </c>
      <c r="K53" s="3"/>
      <c r="L53" s="1" t="s">
        <v>51</v>
      </c>
      <c r="M53" s="1" t="s">
        <v>52</v>
      </c>
      <c r="N53" s="1">
        <v>90000.0</v>
      </c>
      <c r="O53" s="1" t="s">
        <v>280</v>
      </c>
      <c r="P53" s="1" t="s">
        <v>35</v>
      </c>
      <c r="Q53" s="1" t="s">
        <v>54</v>
      </c>
      <c r="R53" s="1" t="s">
        <v>35</v>
      </c>
      <c r="S53" s="4" t="s">
        <v>63</v>
      </c>
      <c r="T53" s="1" t="s">
        <v>261</v>
      </c>
      <c r="U53" s="5">
        <f t="shared" ref="U53:U55" si="35">(F53/E53)-1</f>
        <v>0.5</v>
      </c>
      <c r="V53" s="5">
        <f t="shared" ref="V53:V55" si="36">ROUNDDOWN(N53/E53,0)</f>
        <v>4</v>
      </c>
      <c r="W53" s="6">
        <f t="shared" ref="W53:W55" si="37">13.33*E53+N53</f>
        <v>356600</v>
      </c>
      <c r="X53" s="6"/>
      <c r="Y53" s="6">
        <f t="shared" ref="Y53:Y55" si="38">W53+(W53*U53)</f>
        <v>534900</v>
      </c>
      <c r="Z53" s="3" t="str">
        <f>IF(Y53&lt;100000,"abaixo de R$100.000",IF(AND(Y53&gt;=100000,Y53&lt;200000),"R$100.000 - R$200.000",IF(AND(Y53&gt;=200000,Y53&lt;300000),"R$200.000 - R$300.000",IF(AND(Y53&gt;=300000,Y53&lt;400000),"R$300.000 - R$400.000",IF(AND(Y53&gt;=400000,Y53&lt;500000),"R$400.000 - R$500.000",IF(AND(Y53&gt;=500000,Y53&lt;600000),"R$500.000 - R$600.000",IF(AND(Y53&gt;=600000,Y53&lt;700000),"R$600.000 - R$700.000",IF(AND(Y53&gt;=700000,Y53&lt;800000),"R$700.000 - R$800.000",IF(AND(Y53&gt;=800000,Y53&lt;900000),"R$800.000 - R$900.000","Superior a R$900.000")))))))))</f>
        <v>R$500.000 - R$600.000</v>
      </c>
    </row>
    <row r="54">
      <c r="A54" s="1">
        <v>142660.0</v>
      </c>
      <c r="B54" s="1" t="s">
        <v>281</v>
      </c>
      <c r="C54" s="1" t="s">
        <v>282</v>
      </c>
      <c r="D54" s="1" t="s">
        <v>28</v>
      </c>
      <c r="E54" s="2">
        <v>12000.0</v>
      </c>
      <c r="F54" s="2">
        <v>14400.0</v>
      </c>
      <c r="G54" s="1" t="s">
        <v>29</v>
      </c>
      <c r="H54" s="1" t="s">
        <v>283</v>
      </c>
      <c r="I54" s="1" t="s">
        <v>284</v>
      </c>
      <c r="J54" s="1" t="s">
        <v>77</v>
      </c>
      <c r="K54" s="1" t="s">
        <v>68</v>
      </c>
      <c r="L54" s="1" t="s">
        <v>51</v>
      </c>
      <c r="M54" s="1" t="s">
        <v>33</v>
      </c>
      <c r="N54" s="1">
        <v>24000.0</v>
      </c>
      <c r="O54" s="1" t="s">
        <v>280</v>
      </c>
      <c r="P54" s="1" t="s">
        <v>53</v>
      </c>
      <c r="Q54" s="1" t="s">
        <v>36</v>
      </c>
      <c r="R54" s="1" t="s">
        <v>35</v>
      </c>
      <c r="S54" s="4" t="s">
        <v>63</v>
      </c>
      <c r="T54" s="1" t="s">
        <v>285</v>
      </c>
      <c r="U54" s="5">
        <f t="shared" si="35"/>
        <v>0.2</v>
      </c>
      <c r="V54" s="5">
        <f t="shared" si="36"/>
        <v>2</v>
      </c>
      <c r="W54" s="6">
        <f t="shared" si="37"/>
        <v>183960</v>
      </c>
      <c r="X54" s="4" t="s">
        <v>150</v>
      </c>
      <c r="Y54" s="6">
        <f t="shared" si="38"/>
        <v>220752</v>
      </c>
      <c r="Z54" s="4" t="s">
        <v>150</v>
      </c>
    </row>
    <row r="55">
      <c r="A55" s="1">
        <v>133731.0</v>
      </c>
      <c r="B55" s="1" t="s">
        <v>286</v>
      </c>
      <c r="C55" s="1" t="s">
        <v>287</v>
      </c>
      <c r="D55" s="1" t="s">
        <v>28</v>
      </c>
      <c r="E55" s="2">
        <v>21000.0</v>
      </c>
      <c r="F55" s="2">
        <v>25200.0</v>
      </c>
      <c r="G55" s="1" t="s">
        <v>29</v>
      </c>
      <c r="H55" s="1" t="s">
        <v>288</v>
      </c>
      <c r="I55" s="1" t="s">
        <v>289</v>
      </c>
      <c r="J55" s="1" t="s">
        <v>60</v>
      </c>
      <c r="K55" s="1" t="s">
        <v>68</v>
      </c>
      <c r="L55" s="1" t="s">
        <v>51</v>
      </c>
      <c r="M55" s="1" t="s">
        <v>52</v>
      </c>
      <c r="N55" s="1">
        <v>10000.0</v>
      </c>
      <c r="O55" s="1" t="s">
        <v>178</v>
      </c>
      <c r="P55" s="1" t="s">
        <v>53</v>
      </c>
      <c r="Q55" s="1" t="s">
        <v>36</v>
      </c>
      <c r="R55" s="1" t="s">
        <v>35</v>
      </c>
      <c r="S55" s="4" t="s">
        <v>63</v>
      </c>
      <c r="T55" s="1" t="s">
        <v>195</v>
      </c>
      <c r="U55" s="5">
        <f t="shared" si="35"/>
        <v>0.2</v>
      </c>
      <c r="V55" s="5">
        <f t="shared" si="36"/>
        <v>0</v>
      </c>
      <c r="W55" s="6">
        <f t="shared" si="37"/>
        <v>289930</v>
      </c>
      <c r="X55" s="4" t="s">
        <v>150</v>
      </c>
      <c r="Y55" s="6">
        <f t="shared" si="38"/>
        <v>347916</v>
      </c>
      <c r="Z55" s="4" t="s">
        <v>150</v>
      </c>
    </row>
    <row r="56">
      <c r="A56" s="1">
        <v>222622.0</v>
      </c>
      <c r="B56" s="1" t="s">
        <v>290</v>
      </c>
      <c r="C56" s="2">
        <v>9000.0</v>
      </c>
      <c r="D56" s="1" t="s">
        <v>28</v>
      </c>
      <c r="E56" s="1">
        <v>0.0</v>
      </c>
      <c r="F56" s="1">
        <v>0.0</v>
      </c>
      <c r="G56" s="1" t="s">
        <v>29</v>
      </c>
      <c r="H56" s="1" t="s">
        <v>291</v>
      </c>
      <c r="I56" s="1" t="s">
        <v>60</v>
      </c>
      <c r="J56" s="1" t="s">
        <v>60</v>
      </c>
      <c r="K56" s="3"/>
      <c r="L56" s="1" t="s">
        <v>32</v>
      </c>
      <c r="M56" s="1" t="s">
        <v>33</v>
      </c>
      <c r="N56" s="6"/>
      <c r="O56" s="1" t="s">
        <v>119</v>
      </c>
      <c r="P56" s="1" t="s">
        <v>35</v>
      </c>
      <c r="Q56" s="1" t="s">
        <v>54</v>
      </c>
      <c r="R56" s="1" t="s">
        <v>35</v>
      </c>
      <c r="S56" s="4" t="s">
        <v>63</v>
      </c>
      <c r="T56" s="1" t="s">
        <v>292</v>
      </c>
      <c r="U56" s="5"/>
      <c r="V56" s="5"/>
      <c r="W56" s="6"/>
      <c r="X56" s="4" t="s">
        <v>150</v>
      </c>
      <c r="Y56" s="6"/>
      <c r="Z56" s="4" t="s">
        <v>150</v>
      </c>
    </row>
    <row r="57">
      <c r="A57" s="1">
        <v>222271.0</v>
      </c>
      <c r="B57" s="1" t="s">
        <v>293</v>
      </c>
      <c r="C57" s="1" t="s">
        <v>294</v>
      </c>
      <c r="D57" s="1" t="s">
        <v>28</v>
      </c>
      <c r="E57" s="2">
        <v>16000.0</v>
      </c>
      <c r="F57" s="2">
        <v>19200.0</v>
      </c>
      <c r="G57" s="1" t="s">
        <v>29</v>
      </c>
      <c r="H57" s="1" t="s">
        <v>291</v>
      </c>
      <c r="I57" s="1" t="s">
        <v>295</v>
      </c>
      <c r="J57" s="1" t="s">
        <v>60</v>
      </c>
      <c r="K57" s="3"/>
      <c r="L57" s="1" t="s">
        <v>51</v>
      </c>
      <c r="M57" s="1" t="s">
        <v>33</v>
      </c>
      <c r="N57" s="1">
        <v>8000.0</v>
      </c>
      <c r="O57" s="1" t="s">
        <v>44</v>
      </c>
      <c r="P57" s="1" t="s">
        <v>53</v>
      </c>
      <c r="Q57" s="1" t="s">
        <v>54</v>
      </c>
      <c r="R57" s="1" t="s">
        <v>35</v>
      </c>
      <c r="S57" s="4" t="s">
        <v>63</v>
      </c>
      <c r="T57" s="1" t="s">
        <v>296</v>
      </c>
      <c r="U57" s="5">
        <f t="shared" ref="U57:U59" si="39">(F57/E57)-1</f>
        <v>0.2</v>
      </c>
      <c r="V57" s="5">
        <f t="shared" ref="V57:V59" si="40">ROUNDDOWN(N57/E57,0)</f>
        <v>0</v>
      </c>
      <c r="W57" s="6">
        <f t="shared" ref="W57:W59" si="41">13.33*E57+N57</f>
        <v>221280</v>
      </c>
      <c r="X57" s="4" t="s">
        <v>150</v>
      </c>
      <c r="Y57" s="6">
        <f t="shared" ref="Y57:Y59" si="42">W57+(W57*U57)</f>
        <v>265536</v>
      </c>
      <c r="Z57" s="4" t="s">
        <v>297</v>
      </c>
    </row>
    <row r="58">
      <c r="A58" s="1">
        <v>118447.0</v>
      </c>
      <c r="B58" s="1" t="s">
        <v>298</v>
      </c>
      <c r="C58" s="1" t="s">
        <v>299</v>
      </c>
      <c r="D58" s="1" t="s">
        <v>28</v>
      </c>
      <c r="E58" s="2">
        <v>16500.0</v>
      </c>
      <c r="F58" s="2">
        <v>16500.0</v>
      </c>
      <c r="G58" s="1" t="s">
        <v>29</v>
      </c>
      <c r="H58" s="1" t="s">
        <v>291</v>
      </c>
      <c r="I58" s="1" t="s">
        <v>300</v>
      </c>
      <c r="J58" s="1" t="s">
        <v>77</v>
      </c>
      <c r="K58" s="3"/>
      <c r="L58" s="1" t="s">
        <v>32</v>
      </c>
      <c r="M58" s="1" t="s">
        <v>33</v>
      </c>
      <c r="N58" s="1">
        <v>60000.0</v>
      </c>
      <c r="O58" s="1" t="s">
        <v>119</v>
      </c>
      <c r="P58" s="1" t="s">
        <v>35</v>
      </c>
      <c r="Q58" s="1" t="s">
        <v>36</v>
      </c>
      <c r="R58" s="1" t="s">
        <v>35</v>
      </c>
      <c r="S58" s="4" t="s">
        <v>63</v>
      </c>
      <c r="T58" s="1" t="s">
        <v>301</v>
      </c>
      <c r="U58" s="5">
        <f t="shared" si="39"/>
        <v>0</v>
      </c>
      <c r="V58" s="5">
        <f t="shared" si="40"/>
        <v>3</v>
      </c>
      <c r="W58" s="6">
        <f t="shared" si="41"/>
        <v>279945</v>
      </c>
      <c r="X58" s="4" t="s">
        <v>150</v>
      </c>
      <c r="Y58" s="6">
        <f t="shared" si="42"/>
        <v>279945</v>
      </c>
      <c r="Z58" s="4" t="s">
        <v>297</v>
      </c>
    </row>
    <row r="59">
      <c r="A59" s="1">
        <v>132178.0</v>
      </c>
      <c r="B59" s="1" t="s">
        <v>302</v>
      </c>
      <c r="C59" s="1" t="s">
        <v>303</v>
      </c>
      <c r="D59" s="1" t="s">
        <v>28</v>
      </c>
      <c r="E59" s="2">
        <v>20000.0</v>
      </c>
      <c r="F59" s="2">
        <v>24000.0</v>
      </c>
      <c r="G59" s="1" t="s">
        <v>29</v>
      </c>
      <c r="H59" s="1" t="s">
        <v>291</v>
      </c>
      <c r="I59" s="1" t="s">
        <v>304</v>
      </c>
      <c r="J59" s="1" t="s">
        <v>60</v>
      </c>
      <c r="K59" s="1" t="s">
        <v>305</v>
      </c>
      <c r="L59" s="1" t="s">
        <v>51</v>
      </c>
      <c r="M59" s="1" t="s">
        <v>33</v>
      </c>
      <c r="N59" s="1">
        <v>40000.0</v>
      </c>
      <c r="O59" s="1" t="s">
        <v>119</v>
      </c>
      <c r="P59" s="1" t="s">
        <v>53</v>
      </c>
      <c r="Q59" s="1" t="s">
        <v>36</v>
      </c>
      <c r="R59" s="1" t="s">
        <v>35</v>
      </c>
      <c r="S59" s="4" t="s">
        <v>63</v>
      </c>
      <c r="T59" s="1" t="s">
        <v>306</v>
      </c>
      <c r="U59" s="5">
        <f t="shared" si="39"/>
        <v>0.2</v>
      </c>
      <c r="V59" s="5">
        <f t="shared" si="40"/>
        <v>2</v>
      </c>
      <c r="W59" s="6">
        <f t="shared" si="41"/>
        <v>306600</v>
      </c>
      <c r="X59" s="4" t="s">
        <v>150</v>
      </c>
      <c r="Y59" s="6">
        <f t="shared" si="42"/>
        <v>367920</v>
      </c>
      <c r="Z59" s="4" t="s">
        <v>297</v>
      </c>
    </row>
    <row r="60">
      <c r="A60" s="1">
        <v>222357.0</v>
      </c>
      <c r="B60" s="1" t="s">
        <v>307</v>
      </c>
      <c r="C60" s="1" t="s">
        <v>308</v>
      </c>
      <c r="D60" s="1" t="s">
        <v>28</v>
      </c>
      <c r="E60" s="1">
        <v>0.0</v>
      </c>
      <c r="F60" s="1">
        <v>0.0</v>
      </c>
      <c r="G60" s="1" t="s">
        <v>29</v>
      </c>
      <c r="H60" s="1" t="s">
        <v>309</v>
      </c>
      <c r="I60" s="1" t="s">
        <v>310</v>
      </c>
      <c r="J60" s="1" t="s">
        <v>77</v>
      </c>
      <c r="K60" s="3"/>
      <c r="L60" s="1" t="s">
        <v>43</v>
      </c>
      <c r="M60" s="1" t="s">
        <v>33</v>
      </c>
      <c r="N60" s="3"/>
      <c r="O60" s="1" t="s">
        <v>199</v>
      </c>
      <c r="P60" s="1" t="s">
        <v>35</v>
      </c>
      <c r="Q60" s="1" t="s">
        <v>54</v>
      </c>
      <c r="R60" s="1" t="s">
        <v>35</v>
      </c>
      <c r="S60" s="4" t="s">
        <v>63</v>
      </c>
      <c r="T60" s="1" t="s">
        <v>311</v>
      </c>
      <c r="U60" s="5"/>
      <c r="V60" s="5"/>
      <c r="W60" s="6"/>
      <c r="X60" s="4" t="s">
        <v>150</v>
      </c>
      <c r="Y60" s="6"/>
      <c r="Z60" s="4" t="s">
        <v>297</v>
      </c>
    </row>
    <row r="61">
      <c r="A61" s="1">
        <v>222349.0</v>
      </c>
      <c r="B61" s="1" t="s">
        <v>312</v>
      </c>
      <c r="C61" s="1" t="s">
        <v>313</v>
      </c>
      <c r="D61" s="1" t="s">
        <v>28</v>
      </c>
      <c r="E61" s="1">
        <v>0.0</v>
      </c>
      <c r="F61" s="1">
        <v>0.0</v>
      </c>
      <c r="G61" s="1" t="s">
        <v>29</v>
      </c>
      <c r="H61" s="1" t="s">
        <v>309</v>
      </c>
      <c r="I61" s="1" t="s">
        <v>314</v>
      </c>
      <c r="J61" s="1" t="s">
        <v>60</v>
      </c>
      <c r="K61" s="3"/>
      <c r="L61" s="1" t="s">
        <v>51</v>
      </c>
      <c r="M61" s="1" t="s">
        <v>33</v>
      </c>
      <c r="N61" s="3"/>
      <c r="O61" s="1" t="s">
        <v>44</v>
      </c>
      <c r="P61" s="1" t="s">
        <v>35</v>
      </c>
      <c r="Q61" s="1" t="s">
        <v>36</v>
      </c>
      <c r="R61" s="1" t="s">
        <v>53</v>
      </c>
      <c r="S61" s="4" t="s">
        <v>63</v>
      </c>
      <c r="T61" s="1" t="s">
        <v>315</v>
      </c>
      <c r="U61" s="5"/>
      <c r="V61" s="5"/>
      <c r="W61" s="6"/>
      <c r="X61" s="4" t="s">
        <v>150</v>
      </c>
      <c r="Y61" s="6"/>
      <c r="Z61" s="4" t="s">
        <v>297</v>
      </c>
    </row>
    <row r="62">
      <c r="A62" s="1">
        <v>207983.0</v>
      </c>
      <c r="B62" s="1" t="s">
        <v>316</v>
      </c>
      <c r="C62" s="1" t="s">
        <v>317</v>
      </c>
      <c r="D62" s="1" t="s">
        <v>28</v>
      </c>
      <c r="E62" s="2">
        <v>15000.0</v>
      </c>
      <c r="F62" s="2">
        <v>15000.0</v>
      </c>
      <c r="G62" s="1" t="s">
        <v>75</v>
      </c>
      <c r="H62" s="1" t="s">
        <v>318</v>
      </c>
      <c r="I62" s="1" t="s">
        <v>212</v>
      </c>
      <c r="J62" s="1" t="s">
        <v>60</v>
      </c>
      <c r="K62" s="3"/>
      <c r="L62" s="1" t="s">
        <v>51</v>
      </c>
      <c r="M62" s="1" t="s">
        <v>33</v>
      </c>
      <c r="N62" s="1">
        <v>120000.0</v>
      </c>
      <c r="O62" s="1" t="s">
        <v>199</v>
      </c>
      <c r="P62" s="1" t="s">
        <v>35</v>
      </c>
      <c r="Q62" s="1" t="s">
        <v>36</v>
      </c>
      <c r="R62" s="1" t="s">
        <v>35</v>
      </c>
      <c r="S62" s="4" t="s">
        <v>63</v>
      </c>
      <c r="T62" s="1" t="s">
        <v>319</v>
      </c>
      <c r="U62" s="5">
        <f t="shared" ref="U62:U63" si="43">(F62/E62)-1</f>
        <v>0</v>
      </c>
      <c r="V62" s="5">
        <f t="shared" ref="V62:V63" si="44">ROUNDDOWN(N62/E62,0)</f>
        <v>8</v>
      </c>
      <c r="W62" s="6">
        <f t="shared" ref="W62:W63" si="45">13.33*E62+N62</f>
        <v>319950</v>
      </c>
      <c r="X62" s="4" t="s">
        <v>150</v>
      </c>
      <c r="Y62" s="6">
        <f t="shared" ref="Y62:Y63" si="46">W62+(W62*U62)</f>
        <v>319950</v>
      </c>
      <c r="Z62" s="4" t="s">
        <v>297</v>
      </c>
    </row>
    <row r="63">
      <c r="A63" s="1">
        <v>222729.0</v>
      </c>
      <c r="B63" s="1" t="s">
        <v>320</v>
      </c>
      <c r="C63" s="1" t="s">
        <v>321</v>
      </c>
      <c r="D63" s="1" t="s">
        <v>28</v>
      </c>
      <c r="E63" s="2">
        <v>25000.0</v>
      </c>
      <c r="F63" s="2">
        <v>30000.0</v>
      </c>
      <c r="G63" s="1" t="s">
        <v>29</v>
      </c>
      <c r="H63" s="1" t="s">
        <v>322</v>
      </c>
      <c r="I63" s="1" t="s">
        <v>31</v>
      </c>
      <c r="J63" s="1" t="s">
        <v>31</v>
      </c>
      <c r="K63" s="3"/>
      <c r="L63" s="1" t="s">
        <v>32</v>
      </c>
      <c r="M63" s="1" t="s">
        <v>33</v>
      </c>
      <c r="N63" s="1">
        <v>300000.0</v>
      </c>
      <c r="O63" s="1" t="s">
        <v>62</v>
      </c>
      <c r="P63" s="1" t="s">
        <v>53</v>
      </c>
      <c r="Q63" s="1" t="s">
        <v>54</v>
      </c>
      <c r="R63" s="1" t="s">
        <v>35</v>
      </c>
      <c r="S63" s="4" t="s">
        <v>63</v>
      </c>
      <c r="T63" s="1" t="s">
        <v>323</v>
      </c>
      <c r="U63" s="5">
        <f t="shared" si="43"/>
        <v>0.2</v>
      </c>
      <c r="V63" s="5">
        <f t="shared" si="44"/>
        <v>12</v>
      </c>
      <c r="W63" s="6">
        <f t="shared" si="45"/>
        <v>633250</v>
      </c>
      <c r="X63" s="6" t="str">
        <f>IF(W63&lt;100000,"abaixo de R$100.000",IF(AND(W63&gt;=100000,W63&lt;200000),"R$100.000 - R$200.000",IF(AND(W63&gt;=200000,W63&lt;300000),"R$200.000 - R$300.000",IF(AND(W63&gt;=300000,W63&lt;400000),"R$300.000 - R$400.000",IF(AND(W63&gt;=400000,W63&lt;500000),"R$400.000 - R$500.000",IF(AND(W63&gt;=500000,W63&lt;600000),"R$500.000 - R$600.000",IF(AND(W63&gt;=600000,W63&lt;700000),"R$600.000 - R$700.000",IF(AND(W63&gt;=700000,W63&lt;800000),"R$700.000 - R$800.000",IF(AND(W63&gt;=800000,W63&lt;900000),"R$800.000 - R$900.000","Superior a R$900.000")))))))))</f>
        <v>R$600.000 - R$700.000</v>
      </c>
      <c r="Y63" s="6">
        <f t="shared" si="46"/>
        <v>759900</v>
      </c>
      <c r="Z63" s="3" t="str">
        <f>IF(Y63&lt;100000,"abaixo de R$100.000",IF(AND(Y63&gt;=100000,Y63&lt;200000),"R$100.000 - R$200.000",IF(AND(Y63&gt;=200000,Y63&lt;300000),"R$200.000 - R$300.000",IF(AND(Y63&gt;=300000,Y63&lt;400000),"R$300.000 - R$400.000",IF(AND(Y63&gt;=400000,Y63&lt;500000),"R$400.000 - R$500.000",IF(AND(Y63&gt;=500000,Y63&lt;600000),"R$500.000 - R$600.000",IF(AND(Y63&gt;=600000,Y63&lt;700000),"R$600.000 - R$700.000",IF(AND(Y63&gt;=700000,Y63&lt;800000),"R$700.000 - R$800.000",IF(AND(Y63&gt;=800000,Y63&lt;900000),"R$800.000 - R$900.000","Superior a R$900.000")))))))))</f>
        <v>R$700.000 - R$800.000</v>
      </c>
    </row>
    <row r="64">
      <c r="A64" s="1">
        <v>173994.0</v>
      </c>
      <c r="B64" s="1" t="s">
        <v>324</v>
      </c>
      <c r="C64" s="1" t="s">
        <v>325</v>
      </c>
      <c r="D64" s="1" t="s">
        <v>28</v>
      </c>
      <c r="E64" s="1">
        <v>0.0</v>
      </c>
      <c r="F64" s="1">
        <v>0.0</v>
      </c>
      <c r="G64" s="1" t="s">
        <v>29</v>
      </c>
      <c r="H64" s="1" t="s">
        <v>322</v>
      </c>
      <c r="I64" s="1" t="s">
        <v>148</v>
      </c>
      <c r="J64" s="1" t="s">
        <v>77</v>
      </c>
      <c r="K64" s="3"/>
      <c r="L64" s="1" t="s">
        <v>32</v>
      </c>
      <c r="M64" s="1" t="s">
        <v>33</v>
      </c>
      <c r="N64" s="6"/>
      <c r="O64" s="1" t="s">
        <v>78</v>
      </c>
      <c r="P64" s="1" t="s">
        <v>53</v>
      </c>
      <c r="Q64" s="1" t="s">
        <v>36</v>
      </c>
      <c r="R64" s="1" t="s">
        <v>35</v>
      </c>
      <c r="S64" s="4" t="s">
        <v>63</v>
      </c>
      <c r="T64" s="1" t="s">
        <v>326</v>
      </c>
      <c r="U64" s="5"/>
      <c r="V64" s="5"/>
      <c r="W64" s="6"/>
      <c r="X64" s="4" t="s">
        <v>150</v>
      </c>
      <c r="Y64" s="6"/>
      <c r="Z64" s="4" t="s">
        <v>297</v>
      </c>
    </row>
    <row r="65">
      <c r="A65" s="1">
        <v>151738.0</v>
      </c>
      <c r="B65" s="1" t="s">
        <v>327</v>
      </c>
      <c r="C65" s="1" t="s">
        <v>328</v>
      </c>
      <c r="D65" s="1" t="s">
        <v>28</v>
      </c>
      <c r="E65" s="1">
        <v>0.0</v>
      </c>
      <c r="F65" s="1">
        <v>0.0</v>
      </c>
      <c r="G65" s="1" t="s">
        <v>29</v>
      </c>
      <c r="H65" s="1" t="s">
        <v>322</v>
      </c>
      <c r="I65" s="1" t="s">
        <v>329</v>
      </c>
      <c r="J65" s="1" t="s">
        <v>77</v>
      </c>
      <c r="K65" s="3"/>
      <c r="L65" s="1" t="s">
        <v>32</v>
      </c>
      <c r="M65" s="1" t="s">
        <v>52</v>
      </c>
      <c r="N65" s="3"/>
      <c r="O65" s="1" t="s">
        <v>78</v>
      </c>
      <c r="P65" s="1" t="s">
        <v>53</v>
      </c>
      <c r="Q65" s="1" t="s">
        <v>36</v>
      </c>
      <c r="R65" s="1" t="s">
        <v>35</v>
      </c>
      <c r="S65" s="4" t="s">
        <v>63</v>
      </c>
      <c r="T65" s="1" t="s">
        <v>153</v>
      </c>
      <c r="U65" s="5"/>
      <c r="V65" s="5"/>
      <c r="W65" s="6"/>
      <c r="X65" s="4" t="s">
        <v>150</v>
      </c>
      <c r="Y65" s="6"/>
      <c r="Z65" s="4" t="s">
        <v>297</v>
      </c>
    </row>
    <row r="66">
      <c r="A66" s="1">
        <v>109133.0</v>
      </c>
      <c r="B66" s="1" t="s">
        <v>330</v>
      </c>
      <c r="C66" s="1" t="s">
        <v>331</v>
      </c>
      <c r="D66" s="1" t="s">
        <v>28</v>
      </c>
      <c r="E66" s="2">
        <v>20000.0</v>
      </c>
      <c r="F66" s="2">
        <v>24000.0</v>
      </c>
      <c r="G66" s="1" t="s">
        <v>29</v>
      </c>
      <c r="H66" s="1" t="s">
        <v>322</v>
      </c>
      <c r="I66" s="1" t="s">
        <v>332</v>
      </c>
      <c r="J66" s="1" t="s">
        <v>60</v>
      </c>
      <c r="K66" s="3"/>
      <c r="L66" s="1" t="s">
        <v>51</v>
      </c>
      <c r="M66" s="1" t="s">
        <v>33</v>
      </c>
      <c r="N66" s="1">
        <v>100000.0</v>
      </c>
      <c r="O66" s="1" t="s">
        <v>119</v>
      </c>
      <c r="P66" s="1" t="s">
        <v>53</v>
      </c>
      <c r="Q66" s="1" t="s">
        <v>36</v>
      </c>
      <c r="R66" s="1" t="s">
        <v>35</v>
      </c>
      <c r="S66" s="4" t="s">
        <v>63</v>
      </c>
      <c r="T66" s="1" t="s">
        <v>105</v>
      </c>
      <c r="U66" s="5">
        <f t="shared" ref="U66:U82" si="47">(F66/E66)-1</f>
        <v>0.2</v>
      </c>
      <c r="V66" s="5">
        <f t="shared" ref="V66:V82" si="48">ROUNDDOWN(N66/E66,0)</f>
        <v>5</v>
      </c>
      <c r="W66" s="6">
        <f t="shared" ref="W66:W82" si="49">13.33*E66+N66</f>
        <v>366600</v>
      </c>
      <c r="X66" s="6"/>
      <c r="Y66" s="6">
        <f t="shared" ref="Y66:Y82" si="50">W66+(W66*U66)</f>
        <v>439920</v>
      </c>
      <c r="Z66" s="3" t="str">
        <f t="shared" ref="Z66:Z67" si="51">IF(Y66&lt;100000,"abaixo de R$100.000",IF(AND(Y66&gt;=100000,Y66&lt;200000),"R$100.000 - R$200.000",IF(AND(Y66&gt;=200000,Y66&lt;300000),"R$200.000 - R$300.000",IF(AND(Y66&gt;=300000,Y66&lt;400000),"R$300.000 - R$400.000",IF(AND(Y66&gt;=400000,Y66&lt;500000),"R$400.000 - R$500.000",IF(AND(Y66&gt;=500000,Y66&lt;600000),"R$500.000 - R$600.000",IF(AND(Y66&gt;=600000,Y66&lt;700000),"R$600.000 - R$700.000",IF(AND(Y66&gt;=700000,Y66&lt;800000),"R$700.000 - R$800.000",IF(AND(Y66&gt;=800000,Y66&lt;900000),"R$800.000 - R$900.000","Superior a R$900.000")))))))))</f>
        <v>R$400.000 - R$500.000</v>
      </c>
    </row>
    <row r="67">
      <c r="A67" s="1">
        <v>138453.0</v>
      </c>
      <c r="B67" s="1" t="s">
        <v>333</v>
      </c>
      <c r="C67" s="1" t="s">
        <v>334</v>
      </c>
      <c r="D67" s="1" t="s">
        <v>28</v>
      </c>
      <c r="E67" s="2">
        <v>55000.0</v>
      </c>
      <c r="F67" s="2">
        <v>70000.0</v>
      </c>
      <c r="G67" s="1" t="s">
        <v>29</v>
      </c>
      <c r="H67" s="1" t="s">
        <v>335</v>
      </c>
      <c r="I67" s="1" t="s">
        <v>336</v>
      </c>
      <c r="J67" s="1" t="s">
        <v>77</v>
      </c>
      <c r="K67" s="3"/>
      <c r="L67" s="1" t="s">
        <v>32</v>
      </c>
      <c r="M67" s="1" t="s">
        <v>52</v>
      </c>
      <c r="N67" s="1">
        <v>67000.0</v>
      </c>
      <c r="O67" s="1" t="s">
        <v>62</v>
      </c>
      <c r="P67" s="1" t="s">
        <v>53</v>
      </c>
      <c r="Q67" s="1" t="s">
        <v>54</v>
      </c>
      <c r="R67" s="1" t="s">
        <v>35</v>
      </c>
      <c r="S67" s="4" t="s">
        <v>63</v>
      </c>
      <c r="T67" s="1" t="s">
        <v>337</v>
      </c>
      <c r="U67" s="5">
        <f t="shared" si="47"/>
        <v>0.2727272727</v>
      </c>
      <c r="V67" s="5">
        <f t="shared" si="48"/>
        <v>1</v>
      </c>
      <c r="W67" s="6">
        <f t="shared" si="49"/>
        <v>800150</v>
      </c>
      <c r="X67" s="6" t="str">
        <f>IF(W67&lt;100000,"abaixo de R$100.000",IF(AND(W67&gt;=100000,W67&lt;200000),"R$100.000 - R$200.000",IF(AND(W67&gt;=200000,W67&lt;300000),"R$200.000 - R$300.000",IF(AND(W67&gt;=300000,W67&lt;400000),"R$300.000 - R$400.000",IF(AND(W67&gt;=400000,W67&lt;500000),"R$400.000 - R$500.000",IF(AND(W67&gt;=500000,W67&lt;600000),"R$500.000 - R$600.000",IF(AND(W67&gt;=600000,W67&lt;700000),"R$600.000 - R$700.000",IF(AND(W67&gt;=700000,W67&lt;800000),"R$700.000 - R$800.000",IF(AND(W67&gt;=800000,W67&lt;900000),"R$800.000 - R$900.000","Superior a R$900.000")))))))))</f>
        <v>R$800.000 - R$900.000</v>
      </c>
      <c r="Y67" s="6">
        <f t="shared" si="50"/>
        <v>1018372.727</v>
      </c>
      <c r="Z67" s="3" t="str">
        <f t="shared" si="51"/>
        <v>Superior a R$900.000</v>
      </c>
    </row>
    <row r="68">
      <c r="A68" s="1">
        <v>222472.0</v>
      </c>
      <c r="B68" s="1" t="s">
        <v>338</v>
      </c>
      <c r="C68" s="1">
        <v>25000.0</v>
      </c>
      <c r="D68" s="1" t="s">
        <v>28</v>
      </c>
      <c r="E68" s="2">
        <v>25000.0</v>
      </c>
      <c r="F68" s="2">
        <v>25000.0</v>
      </c>
      <c r="G68" s="1" t="s">
        <v>29</v>
      </c>
      <c r="H68" s="1" t="s">
        <v>335</v>
      </c>
      <c r="I68" s="1" t="s">
        <v>339</v>
      </c>
      <c r="J68" s="1" t="s">
        <v>31</v>
      </c>
      <c r="K68" s="3"/>
      <c r="L68" s="1" t="s">
        <v>43</v>
      </c>
      <c r="M68" s="1" t="s">
        <v>33</v>
      </c>
      <c r="N68" s="1">
        <v>50000.0</v>
      </c>
      <c r="O68" s="1" t="s">
        <v>62</v>
      </c>
      <c r="P68" s="1" t="s">
        <v>35</v>
      </c>
      <c r="Q68" s="1" t="s">
        <v>36</v>
      </c>
      <c r="R68" s="1" t="s">
        <v>35</v>
      </c>
      <c r="S68" s="4" t="s">
        <v>63</v>
      </c>
      <c r="T68" s="1" t="s">
        <v>256</v>
      </c>
      <c r="U68" s="5">
        <f t="shared" si="47"/>
        <v>0</v>
      </c>
      <c r="V68" s="5">
        <f t="shared" si="48"/>
        <v>2</v>
      </c>
      <c r="W68" s="6">
        <f t="shared" si="49"/>
        <v>383250</v>
      </c>
      <c r="X68" s="4" t="s">
        <v>150</v>
      </c>
      <c r="Y68" s="6">
        <f t="shared" si="50"/>
        <v>383250</v>
      </c>
      <c r="Z68" s="4" t="s">
        <v>297</v>
      </c>
    </row>
    <row r="69">
      <c r="A69" s="1">
        <v>222652.0</v>
      </c>
      <c r="B69" s="1" t="s">
        <v>340</v>
      </c>
      <c r="C69" s="1" t="s">
        <v>341</v>
      </c>
      <c r="D69" s="1" t="s">
        <v>28</v>
      </c>
      <c r="E69" s="2">
        <v>12750.0</v>
      </c>
      <c r="F69" s="2">
        <v>15300.0</v>
      </c>
      <c r="G69" s="1" t="s">
        <v>29</v>
      </c>
      <c r="H69" s="1" t="s">
        <v>342</v>
      </c>
      <c r="I69" s="1" t="s">
        <v>343</v>
      </c>
      <c r="J69" s="1" t="s">
        <v>77</v>
      </c>
      <c r="K69" s="3"/>
      <c r="L69" s="1" t="s">
        <v>51</v>
      </c>
      <c r="M69" s="1" t="s">
        <v>52</v>
      </c>
      <c r="N69" s="1">
        <v>250000.0</v>
      </c>
      <c r="O69" s="1" t="s">
        <v>70</v>
      </c>
      <c r="P69" s="1" t="s">
        <v>53</v>
      </c>
      <c r="Q69" s="1" t="s">
        <v>172</v>
      </c>
      <c r="R69" s="1" t="s">
        <v>35</v>
      </c>
      <c r="S69" s="4" t="s">
        <v>63</v>
      </c>
      <c r="T69" s="1" t="s">
        <v>344</v>
      </c>
      <c r="U69" s="5">
        <f t="shared" si="47"/>
        <v>0.2</v>
      </c>
      <c r="V69" s="5">
        <f t="shared" si="48"/>
        <v>19</v>
      </c>
      <c r="W69" s="6">
        <f t="shared" si="49"/>
        <v>419957.5</v>
      </c>
      <c r="X69" s="6" t="str">
        <f t="shared" ref="X69:X82" si="52">IF(W69&lt;100000,"abaixo de R$100.000",IF(AND(W69&gt;=100000,W69&lt;200000),"R$100.000 - R$200.000",IF(AND(W69&gt;=200000,W69&lt;300000),"R$200.000 - R$300.000",IF(AND(W69&gt;=300000,W69&lt;400000),"R$300.000 - R$400.000",IF(AND(W69&gt;=400000,W69&lt;500000),"R$400.000 - R$500.000",IF(AND(W69&gt;=500000,W69&lt;600000),"R$500.000 - R$600.000",IF(AND(W69&gt;=600000,W69&lt;700000),"R$600.000 - R$700.000",IF(AND(W69&gt;=700000,W69&lt;800000),"R$700.000 - R$800.000",IF(AND(W69&gt;=800000,W69&lt;900000),"R$800.000 - R$900.000","Superior a R$900.000")))))))))</f>
        <v>R$400.000 - R$500.000</v>
      </c>
      <c r="Y69" s="6">
        <f t="shared" si="50"/>
        <v>503949</v>
      </c>
      <c r="Z69" s="3" t="str">
        <f t="shared" ref="Z69:Z72" si="53">IF(Y69&lt;100000,"abaixo de R$100.000",IF(AND(Y69&gt;=100000,Y69&lt;200000),"R$100.000 - R$200.000",IF(AND(Y69&gt;=200000,Y69&lt;300000),"R$200.000 - R$300.000",IF(AND(Y69&gt;=300000,Y69&lt;400000),"R$300.000 - R$400.000",IF(AND(Y69&gt;=400000,Y69&lt;500000),"R$400.000 - R$500.000",IF(AND(Y69&gt;=500000,Y69&lt;600000),"R$500.000 - R$600.000",IF(AND(Y69&gt;=600000,Y69&lt;700000),"R$600.000 - R$700.000",IF(AND(Y69&gt;=700000,Y69&lt;800000),"R$700.000 - R$800.000",IF(AND(Y69&gt;=800000,Y69&lt;900000),"R$800.000 - R$900.000","Superior a R$900.000")))))))))</f>
        <v>R$500.000 - R$600.000</v>
      </c>
    </row>
    <row r="70">
      <c r="A70" s="1">
        <v>112551.0</v>
      </c>
      <c r="B70" s="1" t="s">
        <v>345</v>
      </c>
      <c r="C70" s="1" t="s">
        <v>346</v>
      </c>
      <c r="D70" s="1" t="s">
        <v>28</v>
      </c>
      <c r="E70" s="2">
        <v>19500.0</v>
      </c>
      <c r="F70" s="2">
        <v>25000.0</v>
      </c>
      <c r="G70" s="1" t="s">
        <v>29</v>
      </c>
      <c r="H70" s="1" t="s">
        <v>342</v>
      </c>
      <c r="I70" s="1" t="s">
        <v>347</v>
      </c>
      <c r="J70" s="1" t="s">
        <v>77</v>
      </c>
      <c r="K70" s="3"/>
      <c r="L70" s="1" t="s">
        <v>32</v>
      </c>
      <c r="M70" s="1" t="s">
        <v>33</v>
      </c>
      <c r="N70" s="1">
        <v>195000.0</v>
      </c>
      <c r="O70" s="1" t="s">
        <v>199</v>
      </c>
      <c r="P70" s="1" t="s">
        <v>35</v>
      </c>
      <c r="Q70" s="1" t="s">
        <v>172</v>
      </c>
      <c r="R70" s="1" t="s">
        <v>35</v>
      </c>
      <c r="S70" s="4" t="s">
        <v>63</v>
      </c>
      <c r="T70" s="1" t="s">
        <v>348</v>
      </c>
      <c r="U70" s="5">
        <f t="shared" si="47"/>
        <v>0.2820512821</v>
      </c>
      <c r="V70" s="5">
        <f t="shared" si="48"/>
        <v>10</v>
      </c>
      <c r="W70" s="6">
        <f t="shared" si="49"/>
        <v>454935</v>
      </c>
      <c r="X70" s="6" t="str">
        <f t="shared" si="52"/>
        <v>R$400.000 - R$500.000</v>
      </c>
      <c r="Y70" s="6">
        <f t="shared" si="50"/>
        <v>583250</v>
      </c>
      <c r="Z70" s="3" t="str">
        <f t="shared" si="53"/>
        <v>R$500.000 - R$600.000</v>
      </c>
    </row>
    <row r="71">
      <c r="A71" s="1">
        <v>113163.0</v>
      </c>
      <c r="B71" s="1" t="s">
        <v>349</v>
      </c>
      <c r="C71" s="1" t="s">
        <v>350</v>
      </c>
      <c r="D71" s="1" t="s">
        <v>28</v>
      </c>
      <c r="E71" s="2">
        <v>25000.0</v>
      </c>
      <c r="F71" s="2">
        <v>25000.0</v>
      </c>
      <c r="G71" s="1" t="s">
        <v>29</v>
      </c>
      <c r="H71" s="1" t="s">
        <v>342</v>
      </c>
      <c r="I71" s="1" t="s">
        <v>350</v>
      </c>
      <c r="J71" s="1" t="s">
        <v>77</v>
      </c>
      <c r="K71" s="3"/>
      <c r="L71" s="1" t="s">
        <v>51</v>
      </c>
      <c r="M71" s="1" t="s">
        <v>33</v>
      </c>
      <c r="N71" s="1">
        <v>100000.0</v>
      </c>
      <c r="O71" s="1" t="s">
        <v>44</v>
      </c>
      <c r="P71" s="1" t="s">
        <v>53</v>
      </c>
      <c r="Q71" s="1" t="s">
        <v>54</v>
      </c>
      <c r="R71" s="1" t="s">
        <v>35</v>
      </c>
      <c r="S71" s="4" t="s">
        <v>63</v>
      </c>
      <c r="T71" s="1" t="s">
        <v>351</v>
      </c>
      <c r="U71" s="5">
        <f t="shared" si="47"/>
        <v>0</v>
      </c>
      <c r="V71" s="5">
        <f t="shared" si="48"/>
        <v>4</v>
      </c>
      <c r="W71" s="6">
        <f t="shared" si="49"/>
        <v>433250</v>
      </c>
      <c r="X71" s="6" t="str">
        <f t="shared" si="52"/>
        <v>R$400.000 - R$500.000</v>
      </c>
      <c r="Y71" s="6">
        <f t="shared" si="50"/>
        <v>433250</v>
      </c>
      <c r="Z71" s="3" t="str">
        <f t="shared" si="53"/>
        <v>R$400.000 - R$500.000</v>
      </c>
    </row>
    <row r="72">
      <c r="A72" s="1">
        <v>106911.0</v>
      </c>
      <c r="B72" s="1" t="s">
        <v>352</v>
      </c>
      <c r="C72" s="1" t="s">
        <v>353</v>
      </c>
      <c r="D72" s="1" t="s">
        <v>28</v>
      </c>
      <c r="E72" s="2">
        <v>25000.0</v>
      </c>
      <c r="F72" s="2">
        <v>30000.0</v>
      </c>
      <c r="G72" s="1" t="s">
        <v>29</v>
      </c>
      <c r="H72" s="1" t="s">
        <v>342</v>
      </c>
      <c r="I72" s="1" t="s">
        <v>354</v>
      </c>
      <c r="J72" s="1" t="s">
        <v>60</v>
      </c>
      <c r="K72" s="3"/>
      <c r="L72" s="1" t="s">
        <v>51</v>
      </c>
      <c r="M72" s="1" t="s">
        <v>52</v>
      </c>
      <c r="N72" s="1">
        <v>100000.0</v>
      </c>
      <c r="O72" s="1" t="s">
        <v>34</v>
      </c>
      <c r="P72" s="1" t="s">
        <v>53</v>
      </c>
      <c r="Q72" s="1" t="s">
        <v>54</v>
      </c>
      <c r="R72" s="1" t="s">
        <v>35</v>
      </c>
      <c r="S72" s="4" t="s">
        <v>63</v>
      </c>
      <c r="T72" s="1" t="s">
        <v>355</v>
      </c>
      <c r="U72" s="5">
        <f t="shared" si="47"/>
        <v>0.2</v>
      </c>
      <c r="V72" s="5">
        <f t="shared" si="48"/>
        <v>4</v>
      </c>
      <c r="W72" s="6">
        <f t="shared" si="49"/>
        <v>433250</v>
      </c>
      <c r="X72" s="6" t="str">
        <f t="shared" si="52"/>
        <v>R$400.000 - R$500.000</v>
      </c>
      <c r="Y72" s="6">
        <f t="shared" si="50"/>
        <v>519900</v>
      </c>
      <c r="Z72" s="3" t="str">
        <f t="shared" si="53"/>
        <v>R$500.000 - R$600.000</v>
      </c>
    </row>
    <row r="73">
      <c r="A73" s="1">
        <v>108297.0</v>
      </c>
      <c r="B73" s="1" t="s">
        <v>356</v>
      </c>
      <c r="C73" s="1" t="s">
        <v>357</v>
      </c>
      <c r="D73" s="1" t="s">
        <v>28</v>
      </c>
      <c r="E73" s="2">
        <v>32000.0</v>
      </c>
      <c r="F73" s="2">
        <f>E73*1.15</f>
        <v>36800</v>
      </c>
      <c r="G73" s="1" t="s">
        <v>29</v>
      </c>
      <c r="H73" s="1" t="s">
        <v>342</v>
      </c>
      <c r="I73" s="1" t="s">
        <v>358</v>
      </c>
      <c r="J73" s="1" t="s">
        <v>50</v>
      </c>
      <c r="K73" s="1" t="s">
        <v>359</v>
      </c>
      <c r="L73" s="1" t="s">
        <v>32</v>
      </c>
      <c r="M73" s="1" t="s">
        <v>33</v>
      </c>
      <c r="N73" s="1">
        <v>64000.0</v>
      </c>
      <c r="O73" s="1" t="s">
        <v>178</v>
      </c>
      <c r="P73" s="1" t="s">
        <v>53</v>
      </c>
      <c r="Q73" s="1" t="s">
        <v>36</v>
      </c>
      <c r="R73" s="1" t="s">
        <v>35</v>
      </c>
      <c r="S73" s="4" t="s">
        <v>63</v>
      </c>
      <c r="T73" s="1" t="s">
        <v>64</v>
      </c>
      <c r="U73" s="5">
        <f t="shared" si="47"/>
        <v>0.15</v>
      </c>
      <c r="V73" s="5">
        <f t="shared" si="48"/>
        <v>2</v>
      </c>
      <c r="W73" s="6">
        <f t="shared" si="49"/>
        <v>490560</v>
      </c>
      <c r="X73" s="6" t="str">
        <f t="shared" si="52"/>
        <v>R$400.000 - R$500.000</v>
      </c>
      <c r="Y73" s="6">
        <f t="shared" si="50"/>
        <v>564144</v>
      </c>
      <c r="Z73" s="3"/>
    </row>
    <row r="74">
      <c r="A74" s="1">
        <v>108230.0</v>
      </c>
      <c r="B74" s="1" t="s">
        <v>360</v>
      </c>
      <c r="C74" s="1" t="s">
        <v>361</v>
      </c>
      <c r="D74" s="1" t="s">
        <v>28</v>
      </c>
      <c r="E74" s="2">
        <v>35000.0</v>
      </c>
      <c r="F74" s="2">
        <v>40000.0</v>
      </c>
      <c r="G74" s="1" t="s">
        <v>29</v>
      </c>
      <c r="H74" s="1" t="s">
        <v>342</v>
      </c>
      <c r="I74" s="1" t="s">
        <v>362</v>
      </c>
      <c r="J74" s="1" t="s">
        <v>31</v>
      </c>
      <c r="K74" s="1" t="s">
        <v>363</v>
      </c>
      <c r="L74" s="1" t="s">
        <v>51</v>
      </c>
      <c r="M74" s="1" t="s">
        <v>33</v>
      </c>
      <c r="N74" s="1">
        <v>70000.0</v>
      </c>
      <c r="O74" s="1" t="s">
        <v>119</v>
      </c>
      <c r="P74" s="1" t="s">
        <v>53</v>
      </c>
      <c r="Q74" s="1" t="s">
        <v>36</v>
      </c>
      <c r="R74" s="1" t="s">
        <v>35</v>
      </c>
      <c r="S74" s="4" t="s">
        <v>63</v>
      </c>
      <c r="T74" s="1" t="s">
        <v>256</v>
      </c>
      <c r="U74" s="5">
        <f t="shared" si="47"/>
        <v>0.1428571429</v>
      </c>
      <c r="V74" s="5">
        <f t="shared" si="48"/>
        <v>2</v>
      </c>
      <c r="W74" s="6">
        <f t="shared" si="49"/>
        <v>536550</v>
      </c>
      <c r="X74" s="6" t="str">
        <f t="shared" si="52"/>
        <v>R$500.000 - R$600.000</v>
      </c>
      <c r="Y74" s="6">
        <f t="shared" si="50"/>
        <v>613200</v>
      </c>
      <c r="Z74" s="3" t="str">
        <f t="shared" ref="Z74:Z82" si="54">IF(Y74&lt;100000,"abaixo de R$100.000",IF(AND(Y74&gt;=100000,Y74&lt;200000),"R$100.000 - R$200.000",IF(AND(Y74&gt;=200000,Y74&lt;300000),"R$200.000 - R$300.000",IF(AND(Y74&gt;=300000,Y74&lt;400000),"R$300.000 - R$400.000",IF(AND(Y74&gt;=400000,Y74&lt;500000),"R$400.000 - R$500.000",IF(AND(Y74&gt;=500000,Y74&lt;600000),"R$500.000 - R$600.000",IF(AND(Y74&gt;=600000,Y74&lt;700000),"R$600.000 - R$700.000",IF(AND(Y74&gt;=700000,Y74&lt;800000),"R$700.000 - R$800.000",IF(AND(Y74&gt;=800000,Y74&lt;900000),"R$800.000 - R$900.000","Superior a R$900.000")))))))))</f>
        <v>R$600.000 - R$700.000</v>
      </c>
    </row>
    <row r="75">
      <c r="A75" s="1">
        <v>120727.0</v>
      </c>
      <c r="B75" s="1" t="s">
        <v>364</v>
      </c>
      <c r="C75" s="1" t="s">
        <v>365</v>
      </c>
      <c r="D75" s="1" t="s">
        <v>28</v>
      </c>
      <c r="E75" s="2">
        <v>35000.0</v>
      </c>
      <c r="F75" s="2">
        <v>45000.0</v>
      </c>
      <c r="G75" s="1" t="s">
        <v>29</v>
      </c>
      <c r="H75" s="1" t="s">
        <v>342</v>
      </c>
      <c r="I75" s="1" t="s">
        <v>366</v>
      </c>
      <c r="J75" s="1" t="s">
        <v>31</v>
      </c>
      <c r="K75" s="3"/>
      <c r="L75" s="1" t="s">
        <v>32</v>
      </c>
      <c r="M75" s="1" t="s">
        <v>33</v>
      </c>
      <c r="N75" s="1">
        <v>100000.0</v>
      </c>
      <c r="O75" s="1" t="s">
        <v>70</v>
      </c>
      <c r="P75" s="1" t="s">
        <v>35</v>
      </c>
      <c r="Q75" s="1" t="s">
        <v>36</v>
      </c>
      <c r="R75" s="1" t="s">
        <v>35</v>
      </c>
      <c r="S75" s="4" t="s">
        <v>63</v>
      </c>
      <c r="T75" s="1" t="s">
        <v>367</v>
      </c>
      <c r="U75" s="5">
        <f t="shared" si="47"/>
        <v>0.2857142857</v>
      </c>
      <c r="V75" s="5">
        <f t="shared" si="48"/>
        <v>2</v>
      </c>
      <c r="W75" s="6">
        <f t="shared" si="49"/>
        <v>566550</v>
      </c>
      <c r="X75" s="6" t="str">
        <f t="shared" si="52"/>
        <v>R$500.000 - R$600.000</v>
      </c>
      <c r="Y75" s="6">
        <f t="shared" si="50"/>
        <v>728421.4286</v>
      </c>
      <c r="Z75" s="3" t="str">
        <f t="shared" si="54"/>
        <v>R$700.000 - R$800.000</v>
      </c>
    </row>
    <row r="76">
      <c r="A76" s="1">
        <v>208428.0</v>
      </c>
      <c r="B76" s="1" t="s">
        <v>368</v>
      </c>
      <c r="C76" s="1" t="s">
        <v>369</v>
      </c>
      <c r="D76" s="1" t="s">
        <v>28</v>
      </c>
      <c r="E76" s="2">
        <v>40000.0</v>
      </c>
      <c r="F76" s="2">
        <v>55000.0</v>
      </c>
      <c r="G76" s="1" t="s">
        <v>29</v>
      </c>
      <c r="H76" s="1" t="s">
        <v>342</v>
      </c>
      <c r="I76" s="1" t="s">
        <v>370</v>
      </c>
      <c r="J76" s="1" t="s">
        <v>31</v>
      </c>
      <c r="K76" s="3"/>
      <c r="L76" s="1" t="s">
        <v>51</v>
      </c>
      <c r="M76" s="1" t="s">
        <v>69</v>
      </c>
      <c r="N76" s="1">
        <v>15000.0</v>
      </c>
      <c r="O76" s="1" t="s">
        <v>62</v>
      </c>
      <c r="P76" s="1" t="s">
        <v>53</v>
      </c>
      <c r="Q76" s="1" t="s">
        <v>36</v>
      </c>
      <c r="R76" s="1" t="s">
        <v>35</v>
      </c>
      <c r="S76" s="4" t="s">
        <v>63</v>
      </c>
      <c r="T76" s="1" t="s">
        <v>371</v>
      </c>
      <c r="U76" s="5">
        <f t="shared" si="47"/>
        <v>0.375</v>
      </c>
      <c r="V76" s="5">
        <f t="shared" si="48"/>
        <v>0</v>
      </c>
      <c r="W76" s="6">
        <f t="shared" si="49"/>
        <v>548200</v>
      </c>
      <c r="X76" s="6" t="str">
        <f t="shared" si="52"/>
        <v>R$500.000 - R$600.000</v>
      </c>
      <c r="Y76" s="6">
        <f t="shared" si="50"/>
        <v>753775</v>
      </c>
      <c r="Z76" s="3" t="str">
        <f t="shared" si="54"/>
        <v>R$700.000 - R$800.000</v>
      </c>
    </row>
    <row r="77">
      <c r="A77" s="1">
        <v>113832.0</v>
      </c>
      <c r="B77" s="1" t="s">
        <v>372</v>
      </c>
      <c r="C77" s="1" t="s">
        <v>373</v>
      </c>
      <c r="D77" s="1" t="s">
        <v>28</v>
      </c>
      <c r="E77" s="2">
        <v>40000.0</v>
      </c>
      <c r="F77" s="2">
        <f>E77*1.12</f>
        <v>44800</v>
      </c>
      <c r="G77" s="1" t="s">
        <v>29</v>
      </c>
      <c r="H77" s="1" t="s">
        <v>342</v>
      </c>
      <c r="I77" s="1" t="s">
        <v>374</v>
      </c>
      <c r="J77" s="1" t="s">
        <v>31</v>
      </c>
      <c r="K77" s="1" t="s">
        <v>68</v>
      </c>
      <c r="L77" s="1" t="s">
        <v>51</v>
      </c>
      <c r="M77" s="1" t="s">
        <v>52</v>
      </c>
      <c r="N77" s="1">
        <v>160000.0</v>
      </c>
      <c r="O77" s="1" t="s">
        <v>119</v>
      </c>
      <c r="P77" s="1" t="s">
        <v>53</v>
      </c>
      <c r="Q77" s="1" t="s">
        <v>54</v>
      </c>
      <c r="R77" s="1" t="s">
        <v>53</v>
      </c>
      <c r="S77" s="4" t="s">
        <v>63</v>
      </c>
      <c r="T77" s="1" t="s">
        <v>375</v>
      </c>
      <c r="U77" s="5">
        <f t="shared" si="47"/>
        <v>0.12</v>
      </c>
      <c r="V77" s="5">
        <f t="shared" si="48"/>
        <v>4</v>
      </c>
      <c r="W77" s="6">
        <f t="shared" si="49"/>
        <v>693200</v>
      </c>
      <c r="X77" s="6" t="str">
        <f t="shared" si="52"/>
        <v>R$600.000 - R$700.000</v>
      </c>
      <c r="Y77" s="6">
        <f t="shared" si="50"/>
        <v>776384</v>
      </c>
      <c r="Z77" s="3" t="str">
        <f t="shared" si="54"/>
        <v>R$700.000 - R$800.000</v>
      </c>
    </row>
    <row r="78">
      <c r="A78" s="1">
        <v>222459.0</v>
      </c>
      <c r="B78" s="1" t="s">
        <v>376</v>
      </c>
      <c r="C78" s="9">
        <v>45000.0</v>
      </c>
      <c r="D78" s="1" t="s">
        <v>28</v>
      </c>
      <c r="E78" s="2">
        <v>40000.0</v>
      </c>
      <c r="F78" s="2">
        <v>40000.0</v>
      </c>
      <c r="G78" s="1" t="s">
        <v>29</v>
      </c>
      <c r="H78" s="1" t="s">
        <v>342</v>
      </c>
      <c r="I78" s="1" t="s">
        <v>139</v>
      </c>
      <c r="J78" s="1" t="s">
        <v>31</v>
      </c>
      <c r="K78" s="3"/>
      <c r="L78" s="1" t="s">
        <v>32</v>
      </c>
      <c r="M78" s="1" t="s">
        <v>33</v>
      </c>
      <c r="N78" s="1">
        <v>250000.0</v>
      </c>
      <c r="O78" s="1" t="s">
        <v>44</v>
      </c>
      <c r="P78" s="1" t="s">
        <v>53</v>
      </c>
      <c r="Q78" s="1" t="s">
        <v>36</v>
      </c>
      <c r="R78" s="1" t="s">
        <v>35</v>
      </c>
      <c r="S78" s="4" t="s">
        <v>63</v>
      </c>
      <c r="T78" s="1" t="s">
        <v>377</v>
      </c>
      <c r="U78" s="5">
        <f t="shared" si="47"/>
        <v>0</v>
      </c>
      <c r="V78" s="5">
        <f t="shared" si="48"/>
        <v>6</v>
      </c>
      <c r="W78" s="6">
        <f t="shared" si="49"/>
        <v>783200</v>
      </c>
      <c r="X78" s="6" t="str">
        <f t="shared" si="52"/>
        <v>R$700.000 - R$800.000</v>
      </c>
      <c r="Y78" s="6">
        <f t="shared" si="50"/>
        <v>783200</v>
      </c>
      <c r="Z78" s="3" t="str">
        <f t="shared" si="54"/>
        <v>R$700.000 - R$800.000</v>
      </c>
    </row>
    <row r="79">
      <c r="A79" s="1">
        <v>215713.0</v>
      </c>
      <c r="B79" s="1" t="s">
        <v>378</v>
      </c>
      <c r="C79" s="1" t="s">
        <v>379</v>
      </c>
      <c r="D79" s="1" t="s">
        <v>28</v>
      </c>
      <c r="E79" s="2">
        <v>52000.0</v>
      </c>
      <c r="F79" s="2">
        <f>E79</f>
        <v>52000</v>
      </c>
      <c r="G79" s="1" t="s">
        <v>29</v>
      </c>
      <c r="H79" s="1" t="s">
        <v>342</v>
      </c>
      <c r="I79" s="1" t="s">
        <v>380</v>
      </c>
      <c r="J79" s="1" t="s">
        <v>77</v>
      </c>
      <c r="K79" s="3"/>
      <c r="L79" s="1" t="s">
        <v>32</v>
      </c>
      <c r="M79" s="1" t="s">
        <v>33</v>
      </c>
      <c r="N79" s="1">
        <v>260000.0</v>
      </c>
      <c r="O79" s="1" t="s">
        <v>135</v>
      </c>
      <c r="P79" s="1" t="s">
        <v>53</v>
      </c>
      <c r="Q79" s="1" t="s">
        <v>36</v>
      </c>
      <c r="R79" s="1" t="s">
        <v>35</v>
      </c>
      <c r="S79" s="4" t="s">
        <v>381</v>
      </c>
      <c r="T79" s="1" t="s">
        <v>382</v>
      </c>
      <c r="U79" s="5">
        <f t="shared" si="47"/>
        <v>0</v>
      </c>
      <c r="V79" s="5">
        <f t="shared" si="48"/>
        <v>5</v>
      </c>
      <c r="W79" s="6">
        <f t="shared" si="49"/>
        <v>953160</v>
      </c>
      <c r="X79" s="6" t="str">
        <f t="shared" si="52"/>
        <v>Superior a R$900.000</v>
      </c>
      <c r="Y79" s="6">
        <f t="shared" si="50"/>
        <v>953160</v>
      </c>
      <c r="Z79" s="3" t="str">
        <f t="shared" si="54"/>
        <v>Superior a R$900.000</v>
      </c>
    </row>
    <row r="80">
      <c r="A80" s="1">
        <v>113499.0</v>
      </c>
      <c r="B80" s="1" t="s">
        <v>383</v>
      </c>
      <c r="C80" s="1" t="s">
        <v>384</v>
      </c>
      <c r="D80" s="1" t="s">
        <v>28</v>
      </c>
      <c r="E80" s="2">
        <v>65000.0</v>
      </c>
      <c r="F80" s="2">
        <v>75000.0</v>
      </c>
      <c r="G80" s="1" t="s">
        <v>29</v>
      </c>
      <c r="H80" s="1" t="s">
        <v>342</v>
      </c>
      <c r="I80" s="1" t="s">
        <v>385</v>
      </c>
      <c r="J80" s="1" t="s">
        <v>50</v>
      </c>
      <c r="K80" s="3"/>
      <c r="L80" s="1" t="s">
        <v>32</v>
      </c>
      <c r="M80" s="1" t="s">
        <v>69</v>
      </c>
      <c r="N80" s="1">
        <v>240000.0</v>
      </c>
      <c r="O80" s="1" t="s">
        <v>178</v>
      </c>
      <c r="P80" s="1" t="s">
        <v>35</v>
      </c>
      <c r="Q80" s="1" t="s">
        <v>36</v>
      </c>
      <c r="R80" s="1" t="s">
        <v>35</v>
      </c>
      <c r="S80" s="4" t="s">
        <v>381</v>
      </c>
      <c r="T80" s="1" t="s">
        <v>386</v>
      </c>
      <c r="U80" s="5">
        <f t="shared" si="47"/>
        <v>0.1538461538</v>
      </c>
      <c r="V80" s="5">
        <f t="shared" si="48"/>
        <v>3</v>
      </c>
      <c r="W80" s="6">
        <f t="shared" si="49"/>
        <v>1106450</v>
      </c>
      <c r="X80" s="6" t="str">
        <f t="shared" si="52"/>
        <v>Superior a R$900.000</v>
      </c>
      <c r="Y80" s="6">
        <f t="shared" si="50"/>
        <v>1276673.077</v>
      </c>
      <c r="Z80" s="3" t="str">
        <f t="shared" si="54"/>
        <v>Superior a R$900.000</v>
      </c>
    </row>
    <row r="81">
      <c r="A81" s="1">
        <v>210067.0</v>
      </c>
      <c r="B81" s="1" t="s">
        <v>387</v>
      </c>
      <c r="C81" s="1" t="s">
        <v>388</v>
      </c>
      <c r="D81" s="1" t="s">
        <v>28</v>
      </c>
      <c r="E81" s="2">
        <v>65000.0</v>
      </c>
      <c r="F81" s="2">
        <v>75000.0</v>
      </c>
      <c r="G81" s="1" t="s">
        <v>29</v>
      </c>
      <c r="H81" s="1" t="s">
        <v>342</v>
      </c>
      <c r="I81" s="1" t="s">
        <v>389</v>
      </c>
      <c r="J81" s="1" t="s">
        <v>77</v>
      </c>
      <c r="K81" s="3"/>
      <c r="L81" s="1" t="s">
        <v>32</v>
      </c>
      <c r="M81" s="1" t="s">
        <v>33</v>
      </c>
      <c r="N81" s="1">
        <v>400000.0</v>
      </c>
      <c r="O81" s="1" t="s">
        <v>62</v>
      </c>
      <c r="P81" s="1" t="s">
        <v>35</v>
      </c>
      <c r="Q81" s="1" t="s">
        <v>54</v>
      </c>
      <c r="R81" s="1" t="s">
        <v>35</v>
      </c>
      <c r="S81" s="4" t="s">
        <v>381</v>
      </c>
      <c r="T81" s="1" t="s">
        <v>390</v>
      </c>
      <c r="U81" s="5">
        <f t="shared" si="47"/>
        <v>0.1538461538</v>
      </c>
      <c r="V81" s="5">
        <f t="shared" si="48"/>
        <v>6</v>
      </c>
      <c r="W81" s="6">
        <f t="shared" si="49"/>
        <v>1266450</v>
      </c>
      <c r="X81" s="6" t="str">
        <f t="shared" si="52"/>
        <v>Superior a R$900.000</v>
      </c>
      <c r="Y81" s="6">
        <f t="shared" si="50"/>
        <v>1461288.462</v>
      </c>
      <c r="Z81" s="3" t="str">
        <f t="shared" si="54"/>
        <v>Superior a R$900.000</v>
      </c>
    </row>
    <row r="82">
      <c r="A82" s="1">
        <v>107342.0</v>
      </c>
      <c r="B82" s="1" t="s">
        <v>391</v>
      </c>
      <c r="C82" s="1" t="s">
        <v>392</v>
      </c>
      <c r="D82" s="1" t="s">
        <v>28</v>
      </c>
      <c r="E82" s="2">
        <v>70000.0</v>
      </c>
      <c r="F82" s="2">
        <v>100000.0</v>
      </c>
      <c r="G82" s="1" t="s">
        <v>29</v>
      </c>
      <c r="H82" s="1" t="s">
        <v>342</v>
      </c>
      <c r="I82" s="1" t="s">
        <v>393</v>
      </c>
      <c r="J82" s="1" t="s">
        <v>31</v>
      </c>
      <c r="K82" s="3"/>
      <c r="L82" s="1" t="s">
        <v>43</v>
      </c>
      <c r="M82" s="1" t="s">
        <v>33</v>
      </c>
      <c r="N82" s="1">
        <v>420000.0</v>
      </c>
      <c r="O82" s="1" t="s">
        <v>78</v>
      </c>
      <c r="P82" s="1" t="s">
        <v>53</v>
      </c>
      <c r="Q82" s="1" t="s">
        <v>36</v>
      </c>
      <c r="R82" s="1" t="s">
        <v>35</v>
      </c>
      <c r="S82" s="4" t="s">
        <v>381</v>
      </c>
      <c r="T82" s="1" t="s">
        <v>337</v>
      </c>
      <c r="U82" s="5">
        <f t="shared" si="47"/>
        <v>0.4285714286</v>
      </c>
      <c r="V82" s="5">
        <f t="shared" si="48"/>
        <v>6</v>
      </c>
      <c r="W82" s="6">
        <f t="shared" si="49"/>
        <v>1353100</v>
      </c>
      <c r="X82" s="6" t="str">
        <f t="shared" si="52"/>
        <v>Superior a R$900.000</v>
      </c>
      <c r="Y82" s="6">
        <f t="shared" si="50"/>
        <v>1933000</v>
      </c>
      <c r="Z82" s="3" t="str">
        <f t="shared" si="54"/>
        <v>Superior a R$900.000</v>
      </c>
    </row>
    <row r="83">
      <c r="A83" s="1">
        <v>208861.0</v>
      </c>
      <c r="B83" s="1" t="s">
        <v>394</v>
      </c>
      <c r="C83" s="1" t="s">
        <v>395</v>
      </c>
      <c r="D83" s="1" t="s">
        <v>28</v>
      </c>
      <c r="E83" s="1">
        <v>0.0</v>
      </c>
      <c r="F83" s="1">
        <v>0.0</v>
      </c>
      <c r="G83" s="1" t="s">
        <v>29</v>
      </c>
      <c r="H83" s="1" t="s">
        <v>342</v>
      </c>
      <c r="I83" s="1" t="s">
        <v>314</v>
      </c>
      <c r="J83" s="1" t="s">
        <v>60</v>
      </c>
      <c r="K83" s="3"/>
      <c r="L83" s="1" t="s">
        <v>51</v>
      </c>
      <c r="M83" s="1" t="s">
        <v>52</v>
      </c>
      <c r="N83" s="6"/>
      <c r="O83" s="1" t="s">
        <v>44</v>
      </c>
      <c r="P83" s="1" t="s">
        <v>53</v>
      </c>
      <c r="Q83" s="1" t="s">
        <v>54</v>
      </c>
      <c r="R83" s="1" t="s">
        <v>35</v>
      </c>
      <c r="S83" s="4" t="s">
        <v>63</v>
      </c>
      <c r="T83" s="1" t="s">
        <v>396</v>
      </c>
      <c r="U83" s="5"/>
      <c r="V83" s="5"/>
      <c r="W83" s="6"/>
      <c r="X83" s="4" t="s">
        <v>297</v>
      </c>
      <c r="Y83" s="6"/>
      <c r="Z83" s="4" t="s">
        <v>297</v>
      </c>
    </row>
    <row r="84">
      <c r="A84" s="1">
        <v>222649.0</v>
      </c>
      <c r="B84" s="1" t="s">
        <v>397</v>
      </c>
      <c r="C84" s="1" t="s">
        <v>398</v>
      </c>
      <c r="D84" s="1" t="s">
        <v>28</v>
      </c>
      <c r="E84" s="1">
        <v>0.0</v>
      </c>
      <c r="F84" s="1">
        <v>0.0</v>
      </c>
      <c r="G84" s="1" t="s">
        <v>29</v>
      </c>
      <c r="H84" s="1" t="s">
        <v>342</v>
      </c>
      <c r="I84" s="1" t="s">
        <v>399</v>
      </c>
      <c r="J84" s="1" t="s">
        <v>60</v>
      </c>
      <c r="K84" s="3"/>
      <c r="L84" s="1" t="s">
        <v>51</v>
      </c>
      <c r="M84" s="1" t="s">
        <v>33</v>
      </c>
      <c r="N84" s="6"/>
      <c r="O84" s="1" t="s">
        <v>44</v>
      </c>
      <c r="P84" s="1" t="s">
        <v>53</v>
      </c>
      <c r="Q84" s="1" t="s">
        <v>36</v>
      </c>
      <c r="R84" s="1" t="s">
        <v>35</v>
      </c>
      <c r="S84" s="4" t="s">
        <v>63</v>
      </c>
      <c r="T84" s="1" t="s">
        <v>400</v>
      </c>
      <c r="U84" s="5"/>
      <c r="V84" s="5"/>
      <c r="W84" s="6"/>
      <c r="X84" s="4" t="s">
        <v>297</v>
      </c>
      <c r="Y84" s="6"/>
      <c r="Z84" s="4" t="s">
        <v>297</v>
      </c>
    </row>
    <row r="85">
      <c r="A85" s="1">
        <v>213859.0</v>
      </c>
      <c r="B85" s="1" t="s">
        <v>401</v>
      </c>
      <c r="C85" s="1" t="s">
        <v>402</v>
      </c>
      <c r="D85" s="1" t="s">
        <v>28</v>
      </c>
      <c r="E85" s="1">
        <v>0.0</v>
      </c>
      <c r="F85" s="1">
        <v>0.0</v>
      </c>
      <c r="G85" s="1" t="s">
        <v>29</v>
      </c>
      <c r="H85" s="1" t="s">
        <v>342</v>
      </c>
      <c r="I85" s="1" t="s">
        <v>403</v>
      </c>
      <c r="J85" s="1" t="s">
        <v>60</v>
      </c>
      <c r="K85" s="3"/>
      <c r="L85" s="1" t="s">
        <v>51</v>
      </c>
      <c r="M85" s="1" t="s">
        <v>33</v>
      </c>
      <c r="N85" s="3"/>
      <c r="O85" s="1" t="s">
        <v>199</v>
      </c>
      <c r="P85" s="1" t="s">
        <v>53</v>
      </c>
      <c r="Q85" s="1" t="s">
        <v>172</v>
      </c>
      <c r="R85" s="1" t="s">
        <v>53</v>
      </c>
      <c r="S85" s="4" t="s">
        <v>63</v>
      </c>
      <c r="T85" s="1" t="s">
        <v>404</v>
      </c>
      <c r="U85" s="5"/>
      <c r="V85" s="5"/>
      <c r="W85" s="6"/>
      <c r="X85" s="4" t="s">
        <v>297</v>
      </c>
      <c r="Y85" s="6"/>
      <c r="Z85" s="4" t="s">
        <v>297</v>
      </c>
    </row>
    <row r="86">
      <c r="A86" s="1">
        <v>222481.0</v>
      </c>
      <c r="B86" s="1" t="s">
        <v>405</v>
      </c>
      <c r="C86" s="1" t="s">
        <v>406</v>
      </c>
      <c r="D86" s="1" t="s">
        <v>28</v>
      </c>
      <c r="E86" s="1">
        <v>0.0</v>
      </c>
      <c r="F86" s="1">
        <v>0.0</v>
      </c>
      <c r="G86" s="1" t="s">
        <v>29</v>
      </c>
      <c r="H86" s="1" t="s">
        <v>342</v>
      </c>
      <c r="I86" s="1" t="s">
        <v>407</v>
      </c>
      <c r="J86" s="1" t="s">
        <v>60</v>
      </c>
      <c r="K86" s="3"/>
      <c r="L86" s="1" t="s">
        <v>51</v>
      </c>
      <c r="M86" s="1" t="s">
        <v>33</v>
      </c>
      <c r="N86" s="3"/>
      <c r="O86" s="1" t="s">
        <v>199</v>
      </c>
      <c r="P86" s="1" t="s">
        <v>53</v>
      </c>
      <c r="Q86" s="1" t="s">
        <v>54</v>
      </c>
      <c r="R86" s="1" t="s">
        <v>35</v>
      </c>
      <c r="S86" s="4" t="s">
        <v>63</v>
      </c>
      <c r="T86" s="1" t="s">
        <v>408</v>
      </c>
      <c r="U86" s="5"/>
      <c r="V86" s="5"/>
      <c r="W86" s="6"/>
      <c r="X86" s="4" t="s">
        <v>297</v>
      </c>
      <c r="Y86" s="6"/>
      <c r="Z86" s="4" t="s">
        <v>297</v>
      </c>
    </row>
    <row r="87">
      <c r="A87" s="1">
        <v>212758.0</v>
      </c>
      <c r="B87" s="1" t="s">
        <v>409</v>
      </c>
      <c r="C87" s="1" t="s">
        <v>410</v>
      </c>
      <c r="D87" s="1" t="s">
        <v>28</v>
      </c>
      <c r="E87" s="1">
        <v>0.0</v>
      </c>
      <c r="F87" s="1">
        <v>0.0</v>
      </c>
      <c r="G87" s="1" t="s">
        <v>75</v>
      </c>
      <c r="H87" s="1" t="s">
        <v>342</v>
      </c>
      <c r="I87" s="1" t="s">
        <v>411</v>
      </c>
      <c r="J87" s="1" t="s">
        <v>60</v>
      </c>
      <c r="K87" s="3"/>
      <c r="L87" s="1" t="s">
        <v>51</v>
      </c>
      <c r="M87" s="1" t="s">
        <v>33</v>
      </c>
      <c r="N87" s="3"/>
      <c r="O87" s="1" t="s">
        <v>34</v>
      </c>
      <c r="P87" s="1" t="s">
        <v>53</v>
      </c>
      <c r="Q87" s="1" t="s">
        <v>36</v>
      </c>
      <c r="R87" s="1" t="s">
        <v>35</v>
      </c>
      <c r="S87" s="4" t="s">
        <v>63</v>
      </c>
      <c r="T87" s="1" t="s">
        <v>412</v>
      </c>
      <c r="U87" s="5"/>
      <c r="V87" s="5"/>
      <c r="W87" s="6"/>
      <c r="X87" s="4" t="s">
        <v>297</v>
      </c>
      <c r="Y87" s="6"/>
      <c r="Z87" s="4" t="s">
        <v>413</v>
      </c>
    </row>
    <row r="88">
      <c r="A88" s="1">
        <v>207471.0</v>
      </c>
      <c r="B88" s="1" t="s">
        <v>414</v>
      </c>
      <c r="C88" s="1" t="s">
        <v>415</v>
      </c>
      <c r="D88" s="1" t="s">
        <v>28</v>
      </c>
      <c r="E88" s="1">
        <v>0.0</v>
      </c>
      <c r="F88" s="1">
        <v>0.0</v>
      </c>
      <c r="G88" s="1" t="s">
        <v>29</v>
      </c>
      <c r="H88" s="1" t="s">
        <v>342</v>
      </c>
      <c r="I88" s="1" t="s">
        <v>416</v>
      </c>
      <c r="J88" s="1" t="s">
        <v>77</v>
      </c>
      <c r="K88" s="3"/>
      <c r="L88" s="1" t="s">
        <v>51</v>
      </c>
      <c r="M88" s="1" t="s">
        <v>33</v>
      </c>
      <c r="N88" s="3"/>
      <c r="O88" s="1" t="s">
        <v>34</v>
      </c>
      <c r="P88" s="1" t="s">
        <v>53</v>
      </c>
      <c r="Q88" s="1" t="s">
        <v>36</v>
      </c>
      <c r="R88" s="1" t="s">
        <v>35</v>
      </c>
      <c r="S88" s="4" t="s">
        <v>63</v>
      </c>
      <c r="T88" s="1" t="s">
        <v>417</v>
      </c>
      <c r="U88" s="5"/>
      <c r="V88" s="5"/>
      <c r="W88" s="6"/>
      <c r="X88" s="4" t="s">
        <v>297</v>
      </c>
      <c r="Y88" s="6"/>
      <c r="Z88" s="4" t="s">
        <v>413</v>
      </c>
    </row>
    <row r="89">
      <c r="A89" s="1">
        <v>104105.0</v>
      </c>
      <c r="B89" s="1" t="s">
        <v>418</v>
      </c>
      <c r="C89" s="1" t="s">
        <v>419</v>
      </c>
      <c r="D89" s="1" t="s">
        <v>28</v>
      </c>
      <c r="E89" s="2">
        <v>13000.0</v>
      </c>
      <c r="F89" s="2">
        <v>15000.0</v>
      </c>
      <c r="G89" s="1" t="s">
        <v>29</v>
      </c>
      <c r="H89" s="1" t="s">
        <v>342</v>
      </c>
      <c r="I89" s="1" t="s">
        <v>31</v>
      </c>
      <c r="J89" s="1" t="s">
        <v>31</v>
      </c>
      <c r="K89" s="3"/>
      <c r="L89" s="1" t="s">
        <v>32</v>
      </c>
      <c r="M89" s="1" t="s">
        <v>33</v>
      </c>
      <c r="N89" s="1">
        <v>15000.0</v>
      </c>
      <c r="O89" s="1" t="s">
        <v>34</v>
      </c>
      <c r="P89" s="1" t="s">
        <v>35</v>
      </c>
      <c r="Q89" s="1" t="s">
        <v>54</v>
      </c>
      <c r="R89" s="1" t="s">
        <v>35</v>
      </c>
      <c r="S89" s="4" t="s">
        <v>63</v>
      </c>
      <c r="T89" s="1" t="s">
        <v>420</v>
      </c>
      <c r="U89" s="5">
        <f t="shared" ref="U89:U99" si="55">(F89/E89)-1</f>
        <v>0.1538461538</v>
      </c>
      <c r="V89" s="5">
        <f t="shared" ref="V89:V99" si="56">ROUNDDOWN(N89/E89,0)</f>
        <v>1</v>
      </c>
      <c r="W89" s="6">
        <f t="shared" ref="W89:W99" si="57">13.33*E89+N89</f>
        <v>188290</v>
      </c>
      <c r="X89" s="7" t="s">
        <v>413</v>
      </c>
      <c r="Y89" s="6">
        <f t="shared" ref="Y89:Y99" si="58">W89+(W89*U89)</f>
        <v>217257.6923</v>
      </c>
      <c r="Z89" s="4" t="s">
        <v>413</v>
      </c>
    </row>
    <row r="90">
      <c r="A90" s="1">
        <v>209419.0</v>
      </c>
      <c r="B90" s="1" t="s">
        <v>421</v>
      </c>
      <c r="C90" s="1" t="s">
        <v>422</v>
      </c>
      <c r="D90" s="1" t="s">
        <v>28</v>
      </c>
      <c r="E90" s="2">
        <v>15000.0</v>
      </c>
      <c r="F90" s="2">
        <v>18000.0</v>
      </c>
      <c r="G90" s="1" t="s">
        <v>29</v>
      </c>
      <c r="H90" s="1" t="s">
        <v>342</v>
      </c>
      <c r="I90" s="1" t="s">
        <v>267</v>
      </c>
      <c r="J90" s="1" t="s">
        <v>60</v>
      </c>
      <c r="K90" s="3"/>
      <c r="L90" s="1" t="s">
        <v>32</v>
      </c>
      <c r="M90" s="1" t="s">
        <v>33</v>
      </c>
      <c r="N90" s="1">
        <v>100000.0</v>
      </c>
      <c r="O90" s="1" t="s">
        <v>78</v>
      </c>
      <c r="P90" s="1" t="s">
        <v>53</v>
      </c>
      <c r="Q90" s="1" t="s">
        <v>54</v>
      </c>
      <c r="R90" s="1" t="s">
        <v>35</v>
      </c>
      <c r="S90" s="4" t="s">
        <v>63</v>
      </c>
      <c r="T90" s="1" t="s">
        <v>367</v>
      </c>
      <c r="U90" s="5">
        <f t="shared" si="55"/>
        <v>0.2</v>
      </c>
      <c r="V90" s="5">
        <f t="shared" si="56"/>
        <v>6</v>
      </c>
      <c r="W90" s="6">
        <f t="shared" si="57"/>
        <v>299950</v>
      </c>
      <c r="X90" s="7" t="s">
        <v>413</v>
      </c>
      <c r="Y90" s="6">
        <f t="shared" si="58"/>
        <v>359940</v>
      </c>
      <c r="Z90" s="4" t="s">
        <v>413</v>
      </c>
    </row>
    <row r="91">
      <c r="A91" s="1">
        <v>102928.0</v>
      </c>
      <c r="B91" s="1" t="s">
        <v>423</v>
      </c>
      <c r="C91" s="1" t="s">
        <v>424</v>
      </c>
      <c r="D91" s="1" t="s">
        <v>28</v>
      </c>
      <c r="E91" s="2">
        <v>15000.0</v>
      </c>
      <c r="F91" s="2">
        <v>20000.0</v>
      </c>
      <c r="G91" s="1" t="s">
        <v>29</v>
      </c>
      <c r="H91" s="1" t="s">
        <v>342</v>
      </c>
      <c r="I91" s="1" t="s">
        <v>425</v>
      </c>
      <c r="J91" s="1" t="s">
        <v>77</v>
      </c>
      <c r="K91" s="3"/>
      <c r="L91" s="1" t="s">
        <v>51</v>
      </c>
      <c r="M91" s="1" t="s">
        <v>33</v>
      </c>
      <c r="N91" s="1">
        <v>50000.0</v>
      </c>
      <c r="O91" s="1" t="s">
        <v>62</v>
      </c>
      <c r="P91" s="1" t="s">
        <v>53</v>
      </c>
      <c r="Q91" s="1" t="s">
        <v>54</v>
      </c>
      <c r="R91" s="1" t="s">
        <v>35</v>
      </c>
      <c r="S91" s="4" t="s">
        <v>63</v>
      </c>
      <c r="T91" s="1" t="s">
        <v>367</v>
      </c>
      <c r="U91" s="5">
        <f t="shared" si="55"/>
        <v>0.3333333333</v>
      </c>
      <c r="V91" s="5">
        <f t="shared" si="56"/>
        <v>3</v>
      </c>
      <c r="W91" s="6">
        <f t="shared" si="57"/>
        <v>249950</v>
      </c>
      <c r="X91" s="7" t="s">
        <v>413</v>
      </c>
      <c r="Y91" s="6">
        <f t="shared" si="58"/>
        <v>333266.6667</v>
      </c>
      <c r="Z91" s="4" t="s">
        <v>413</v>
      </c>
    </row>
    <row r="92">
      <c r="A92" s="1">
        <v>113080.0</v>
      </c>
      <c r="B92" s="1" t="s">
        <v>426</v>
      </c>
      <c r="C92" s="1" t="s">
        <v>427</v>
      </c>
      <c r="D92" s="1" t="s">
        <v>28</v>
      </c>
      <c r="E92" s="2">
        <v>17000.0</v>
      </c>
      <c r="F92" s="2">
        <v>18000.0</v>
      </c>
      <c r="G92" s="1" t="s">
        <v>75</v>
      </c>
      <c r="H92" s="1" t="s">
        <v>342</v>
      </c>
      <c r="I92" s="1" t="s">
        <v>428</v>
      </c>
      <c r="J92" s="1" t="s">
        <v>77</v>
      </c>
      <c r="K92" s="3"/>
      <c r="L92" s="1" t="s">
        <v>32</v>
      </c>
      <c r="M92" s="1" t="s">
        <v>52</v>
      </c>
      <c r="N92" s="1">
        <v>23000.0</v>
      </c>
      <c r="O92" s="1" t="s">
        <v>218</v>
      </c>
      <c r="P92" s="1" t="s">
        <v>35</v>
      </c>
      <c r="Q92" s="1" t="s">
        <v>172</v>
      </c>
      <c r="R92" s="1" t="s">
        <v>35</v>
      </c>
      <c r="S92" s="4" t="s">
        <v>63</v>
      </c>
      <c r="T92" s="1" t="s">
        <v>429</v>
      </c>
      <c r="U92" s="5">
        <f t="shared" si="55"/>
        <v>0.05882352941</v>
      </c>
      <c r="V92" s="5">
        <f t="shared" si="56"/>
        <v>1</v>
      </c>
      <c r="W92" s="6">
        <f t="shared" si="57"/>
        <v>249610</v>
      </c>
      <c r="X92" s="7" t="s">
        <v>413</v>
      </c>
      <c r="Y92" s="6">
        <f t="shared" si="58"/>
        <v>264292.9412</v>
      </c>
      <c r="Z92" s="4" t="s">
        <v>413</v>
      </c>
    </row>
    <row r="93">
      <c r="A93" s="1">
        <v>209728.0</v>
      </c>
      <c r="B93" s="1" t="s">
        <v>430</v>
      </c>
      <c r="C93" s="1" t="s">
        <v>431</v>
      </c>
      <c r="D93" s="1" t="s">
        <v>28</v>
      </c>
      <c r="E93" s="2">
        <v>17500.0</v>
      </c>
      <c r="F93" s="2">
        <v>21000.0</v>
      </c>
      <c r="G93" s="1" t="s">
        <v>29</v>
      </c>
      <c r="H93" s="1" t="s">
        <v>342</v>
      </c>
      <c r="I93" s="1" t="s">
        <v>432</v>
      </c>
      <c r="J93" s="1" t="s">
        <v>60</v>
      </c>
      <c r="K93" s="3"/>
      <c r="L93" s="1" t="s">
        <v>51</v>
      </c>
      <c r="M93" s="1" t="s">
        <v>33</v>
      </c>
      <c r="N93" s="1">
        <v>80000.0</v>
      </c>
      <c r="O93" s="1" t="s">
        <v>119</v>
      </c>
      <c r="P93" s="1" t="s">
        <v>53</v>
      </c>
      <c r="Q93" s="1" t="s">
        <v>36</v>
      </c>
      <c r="R93" s="1" t="s">
        <v>53</v>
      </c>
      <c r="S93" s="4" t="s">
        <v>63</v>
      </c>
      <c r="T93" s="1" t="s">
        <v>375</v>
      </c>
      <c r="U93" s="5">
        <f t="shared" si="55"/>
        <v>0.2</v>
      </c>
      <c r="V93" s="5">
        <f t="shared" si="56"/>
        <v>4</v>
      </c>
      <c r="W93" s="6">
        <f t="shared" si="57"/>
        <v>313275</v>
      </c>
      <c r="X93" s="4" t="s">
        <v>413</v>
      </c>
      <c r="Y93" s="6">
        <f t="shared" si="58"/>
        <v>375930</v>
      </c>
      <c r="Z93" s="4" t="s">
        <v>413</v>
      </c>
    </row>
    <row r="94">
      <c r="A94" s="1">
        <v>113669.0</v>
      </c>
      <c r="B94" s="1" t="s">
        <v>433</v>
      </c>
      <c r="C94" s="1" t="s">
        <v>434</v>
      </c>
      <c r="D94" s="1" t="s">
        <v>28</v>
      </c>
      <c r="E94" s="2">
        <v>17500.0</v>
      </c>
      <c r="F94" s="2">
        <v>25000.0</v>
      </c>
      <c r="G94" s="1" t="s">
        <v>29</v>
      </c>
      <c r="H94" s="1" t="s">
        <v>342</v>
      </c>
      <c r="I94" s="1" t="s">
        <v>93</v>
      </c>
      <c r="J94" s="1" t="s">
        <v>60</v>
      </c>
      <c r="K94" s="1" t="s">
        <v>435</v>
      </c>
      <c r="L94" s="1" t="s">
        <v>51</v>
      </c>
      <c r="M94" s="1" t="s">
        <v>33</v>
      </c>
      <c r="N94" s="1">
        <v>30000.0</v>
      </c>
      <c r="O94" s="1" t="s">
        <v>34</v>
      </c>
      <c r="P94" s="1" t="s">
        <v>35</v>
      </c>
      <c r="Q94" s="1" t="s">
        <v>54</v>
      </c>
      <c r="R94" s="1" t="s">
        <v>35</v>
      </c>
      <c r="S94" s="4" t="s">
        <v>63</v>
      </c>
      <c r="T94" s="1" t="s">
        <v>436</v>
      </c>
      <c r="U94" s="5">
        <f t="shared" si="55"/>
        <v>0.4285714286</v>
      </c>
      <c r="V94" s="5">
        <f t="shared" si="56"/>
        <v>1</v>
      </c>
      <c r="W94" s="6">
        <f t="shared" si="57"/>
        <v>263275</v>
      </c>
      <c r="X94" s="4" t="s">
        <v>413</v>
      </c>
      <c r="Y94" s="6">
        <f t="shared" si="58"/>
        <v>376107.1429</v>
      </c>
      <c r="Z94" s="4" t="s">
        <v>413</v>
      </c>
    </row>
    <row r="95">
      <c r="A95" s="1">
        <v>106978.0</v>
      </c>
      <c r="B95" s="1" t="s">
        <v>437</v>
      </c>
      <c r="C95" s="1" t="s">
        <v>438</v>
      </c>
      <c r="D95" s="1" t="s">
        <v>28</v>
      </c>
      <c r="E95" s="2">
        <v>18000.0</v>
      </c>
      <c r="F95" s="2">
        <f>E95</f>
        <v>18000</v>
      </c>
      <c r="G95" s="1" t="s">
        <v>29</v>
      </c>
      <c r="H95" s="1" t="s">
        <v>342</v>
      </c>
      <c r="I95" s="1" t="s">
        <v>439</v>
      </c>
      <c r="J95" s="1" t="s">
        <v>60</v>
      </c>
      <c r="K95" s="1" t="s">
        <v>68</v>
      </c>
      <c r="L95" s="1" t="s">
        <v>32</v>
      </c>
      <c r="M95" s="1" t="s">
        <v>52</v>
      </c>
      <c r="N95" s="1">
        <v>25000.0</v>
      </c>
      <c r="O95" s="1" t="s">
        <v>171</v>
      </c>
      <c r="P95" s="1" t="s">
        <v>53</v>
      </c>
      <c r="Q95" s="1" t="s">
        <v>36</v>
      </c>
      <c r="R95" s="1" t="s">
        <v>35</v>
      </c>
      <c r="S95" s="4" t="s">
        <v>63</v>
      </c>
      <c r="T95" s="1" t="s">
        <v>440</v>
      </c>
      <c r="U95" s="5">
        <f t="shared" si="55"/>
        <v>0</v>
      </c>
      <c r="V95" s="5">
        <f t="shared" si="56"/>
        <v>1</v>
      </c>
      <c r="W95" s="6">
        <f t="shared" si="57"/>
        <v>264940</v>
      </c>
      <c r="X95" s="4" t="s">
        <v>413</v>
      </c>
      <c r="Y95" s="6">
        <f t="shared" si="58"/>
        <v>264940</v>
      </c>
      <c r="Z95" s="4" t="s">
        <v>413</v>
      </c>
    </row>
    <row r="96">
      <c r="A96" s="1">
        <v>109595.0</v>
      </c>
      <c r="B96" s="1" t="s">
        <v>441</v>
      </c>
      <c r="C96" s="1" t="s">
        <v>442</v>
      </c>
      <c r="D96" s="1" t="s">
        <v>28</v>
      </c>
      <c r="E96" s="2">
        <v>20000.0</v>
      </c>
      <c r="F96" s="2">
        <v>25000.0</v>
      </c>
      <c r="G96" s="1" t="s">
        <v>29</v>
      </c>
      <c r="H96" s="1" t="s">
        <v>342</v>
      </c>
      <c r="I96" s="1" t="s">
        <v>443</v>
      </c>
      <c r="J96" s="1" t="s">
        <v>60</v>
      </c>
      <c r="K96" s="3"/>
      <c r="L96" s="1" t="s">
        <v>51</v>
      </c>
      <c r="M96" s="1" t="s">
        <v>52</v>
      </c>
      <c r="N96" s="1">
        <v>10000.0</v>
      </c>
      <c r="O96" s="1" t="s">
        <v>178</v>
      </c>
      <c r="P96" s="1" t="s">
        <v>53</v>
      </c>
      <c r="Q96" s="1" t="s">
        <v>36</v>
      </c>
      <c r="R96" s="1" t="s">
        <v>35</v>
      </c>
      <c r="S96" s="4" t="s">
        <v>63</v>
      </c>
      <c r="T96" s="1" t="s">
        <v>444</v>
      </c>
      <c r="U96" s="5">
        <f t="shared" si="55"/>
        <v>0.25</v>
      </c>
      <c r="V96" s="5">
        <f t="shared" si="56"/>
        <v>0</v>
      </c>
      <c r="W96" s="6">
        <f t="shared" si="57"/>
        <v>276600</v>
      </c>
      <c r="X96" s="4" t="s">
        <v>413</v>
      </c>
      <c r="Y96" s="6">
        <f t="shared" si="58"/>
        <v>345750</v>
      </c>
      <c r="Z96" s="4" t="s">
        <v>413</v>
      </c>
    </row>
    <row r="97">
      <c r="A97" s="1">
        <v>117062.0</v>
      </c>
      <c r="B97" s="1" t="s">
        <v>445</v>
      </c>
      <c r="C97" s="1" t="s">
        <v>446</v>
      </c>
      <c r="D97" s="1" t="s">
        <v>28</v>
      </c>
      <c r="E97" s="2">
        <v>25000.0</v>
      </c>
      <c r="F97" s="2">
        <v>25000.0</v>
      </c>
      <c r="G97" s="1" t="s">
        <v>29</v>
      </c>
      <c r="H97" s="1" t="s">
        <v>342</v>
      </c>
      <c r="I97" s="1" t="s">
        <v>447</v>
      </c>
      <c r="J97" s="1" t="s">
        <v>50</v>
      </c>
      <c r="K97" s="1" t="s">
        <v>448</v>
      </c>
      <c r="L97" s="1" t="s">
        <v>32</v>
      </c>
      <c r="M97" s="1" t="s">
        <v>52</v>
      </c>
      <c r="N97" s="1">
        <v>0.0</v>
      </c>
      <c r="O97" s="1" t="s">
        <v>449</v>
      </c>
      <c r="P97" s="1" t="s">
        <v>53</v>
      </c>
      <c r="Q97" s="1" t="s">
        <v>36</v>
      </c>
      <c r="R97" s="1" t="s">
        <v>35</v>
      </c>
      <c r="S97" s="4" t="s">
        <v>63</v>
      </c>
      <c r="T97" s="1" t="s">
        <v>244</v>
      </c>
      <c r="U97" s="5">
        <f t="shared" si="55"/>
        <v>0</v>
      </c>
      <c r="V97" s="5">
        <f t="shared" si="56"/>
        <v>0</v>
      </c>
      <c r="W97" s="6">
        <f t="shared" si="57"/>
        <v>333250</v>
      </c>
      <c r="X97" s="7" t="s">
        <v>72</v>
      </c>
      <c r="Y97" s="6">
        <f t="shared" si="58"/>
        <v>333250</v>
      </c>
      <c r="Z97" s="4" t="s">
        <v>72</v>
      </c>
    </row>
    <row r="98">
      <c r="A98" s="1">
        <v>107954.0</v>
      </c>
      <c r="B98" s="1" t="s">
        <v>450</v>
      </c>
      <c r="C98" s="1" t="s">
        <v>451</v>
      </c>
      <c r="D98" s="1" t="s">
        <v>28</v>
      </c>
      <c r="E98" s="2">
        <v>28000.0</v>
      </c>
      <c r="F98" s="2">
        <v>35000.0</v>
      </c>
      <c r="G98" s="1" t="s">
        <v>29</v>
      </c>
      <c r="H98" s="1" t="s">
        <v>342</v>
      </c>
      <c r="I98" s="1" t="s">
        <v>99</v>
      </c>
      <c r="J98" s="1" t="s">
        <v>31</v>
      </c>
      <c r="K98" s="1" t="s">
        <v>452</v>
      </c>
      <c r="L98" s="1" t="s">
        <v>51</v>
      </c>
      <c r="M98" s="1" t="s">
        <v>33</v>
      </c>
      <c r="N98" s="1">
        <v>1000.0</v>
      </c>
      <c r="O98" s="1" t="s">
        <v>34</v>
      </c>
      <c r="P98" s="1" t="s">
        <v>35</v>
      </c>
      <c r="Q98" s="1" t="s">
        <v>172</v>
      </c>
      <c r="R98" s="1" t="s">
        <v>35</v>
      </c>
      <c r="S98" s="4" t="s">
        <v>63</v>
      </c>
      <c r="T98" s="1" t="s">
        <v>367</v>
      </c>
      <c r="U98" s="5">
        <f t="shared" si="55"/>
        <v>0.25</v>
      </c>
      <c r="V98" s="5">
        <f t="shared" si="56"/>
        <v>0</v>
      </c>
      <c r="W98" s="6">
        <f t="shared" si="57"/>
        <v>374240</v>
      </c>
      <c r="X98" s="6"/>
      <c r="Y98" s="6">
        <f t="shared" si="58"/>
        <v>467800</v>
      </c>
      <c r="Z98" s="3" t="str">
        <f t="shared" ref="Z98:Z99" si="59">IF(Y98&lt;100000,"abaixo de R$100.000",IF(AND(Y98&gt;=100000,Y98&lt;200000),"R$100.000 - R$200.000",IF(AND(Y98&gt;=200000,Y98&lt;300000),"R$200.000 - R$300.000",IF(AND(Y98&gt;=300000,Y98&lt;400000),"R$300.000 - R$400.000",IF(AND(Y98&gt;=400000,Y98&lt;500000),"R$400.000 - R$500.000",IF(AND(Y98&gt;=500000,Y98&lt;600000),"R$500.000 - R$600.000",IF(AND(Y98&gt;=600000,Y98&lt;700000),"R$600.000 - R$700.000",IF(AND(Y98&gt;=700000,Y98&lt;800000),"R$700.000 - R$800.000",IF(AND(Y98&gt;=800000,Y98&lt;900000),"R$800.000 - R$900.000","Superior a R$900.000")))))))))</f>
        <v>R$400.000 - R$500.000</v>
      </c>
    </row>
    <row r="99">
      <c r="A99" s="1">
        <v>114608.0</v>
      </c>
      <c r="B99" s="1" t="s">
        <v>453</v>
      </c>
      <c r="C99" s="1" t="s">
        <v>454</v>
      </c>
      <c r="D99" s="1" t="s">
        <v>132</v>
      </c>
      <c r="E99" s="2">
        <v>44000.0</v>
      </c>
      <c r="F99" s="2">
        <v>45000.0</v>
      </c>
      <c r="G99" s="1" t="s">
        <v>29</v>
      </c>
      <c r="H99" s="1" t="s">
        <v>455</v>
      </c>
      <c r="I99" s="1" t="s">
        <v>456</v>
      </c>
      <c r="J99" s="1" t="s">
        <v>77</v>
      </c>
      <c r="K99" s="3"/>
      <c r="L99" s="1" t="s">
        <v>51</v>
      </c>
      <c r="M99" s="1" t="s">
        <v>52</v>
      </c>
      <c r="N99" s="1">
        <v>60000.0</v>
      </c>
      <c r="O99" s="1" t="s">
        <v>78</v>
      </c>
      <c r="P99" s="1" t="s">
        <v>35</v>
      </c>
      <c r="Q99" s="1" t="s">
        <v>36</v>
      </c>
      <c r="R99" s="1" t="s">
        <v>35</v>
      </c>
      <c r="S99" s="3"/>
      <c r="T99" s="1" t="s">
        <v>386</v>
      </c>
      <c r="U99" s="5">
        <f t="shared" si="55"/>
        <v>0.02272727273</v>
      </c>
      <c r="V99" s="5">
        <f t="shared" si="56"/>
        <v>1</v>
      </c>
      <c r="W99" s="6">
        <f t="shared" si="57"/>
        <v>646520</v>
      </c>
      <c r="X99" s="6" t="str">
        <f>IF(W99&lt;100000,"abaixo de R$100.000",IF(AND(W99&gt;=100000,W99&lt;200000),"R$100.000 - R$200.000",IF(AND(W99&gt;=200000,W99&lt;300000),"R$200.000 - R$300.000",IF(AND(W99&gt;=300000,W99&lt;400000),"R$300.000 - R$400.000",IF(AND(W99&gt;=400000,W99&lt;500000),"R$400.000 - R$500.000",IF(AND(W99&gt;=500000,W99&lt;600000),"R$500.000 - R$600.000",IF(AND(W99&gt;=600000,W99&lt;700000),"R$600.000 - R$700.000",IF(AND(W99&gt;=700000,W99&lt;800000),"R$700.000 - R$800.000",IF(AND(W99&gt;=800000,W99&lt;900000),"R$800.000 - R$900.000","Superior a R$900.000")))))))))</f>
        <v>R$600.000 - R$700.000</v>
      </c>
      <c r="Y99" s="6">
        <f t="shared" si="58"/>
        <v>661213.6364</v>
      </c>
      <c r="Z99" s="3" t="str">
        <f t="shared" si="59"/>
        <v>R$600.000 - R$700.000</v>
      </c>
    </row>
    <row r="100">
      <c r="A100" s="1">
        <v>143956.0</v>
      </c>
      <c r="B100" s="1" t="s">
        <v>457</v>
      </c>
      <c r="C100" s="1" t="s">
        <v>458</v>
      </c>
      <c r="D100" s="1" t="s">
        <v>28</v>
      </c>
      <c r="E100" s="1">
        <v>0.0</v>
      </c>
      <c r="F100" s="1">
        <v>0.0</v>
      </c>
      <c r="G100" s="1" t="s">
        <v>29</v>
      </c>
      <c r="H100" s="1" t="s">
        <v>459</v>
      </c>
      <c r="I100" s="1" t="s">
        <v>212</v>
      </c>
      <c r="J100" s="1" t="s">
        <v>60</v>
      </c>
      <c r="K100" s="3"/>
      <c r="L100" s="1" t="s">
        <v>32</v>
      </c>
      <c r="M100" s="1" t="s">
        <v>33</v>
      </c>
      <c r="N100" s="6"/>
      <c r="O100" s="1" t="s">
        <v>94</v>
      </c>
      <c r="P100" s="1" t="s">
        <v>35</v>
      </c>
      <c r="Q100" s="1" t="s">
        <v>36</v>
      </c>
      <c r="R100" s="1" t="s">
        <v>35</v>
      </c>
      <c r="S100" s="4" t="s">
        <v>63</v>
      </c>
      <c r="T100" s="1" t="s">
        <v>400</v>
      </c>
      <c r="U100" s="5"/>
      <c r="V100" s="5"/>
      <c r="W100" s="6"/>
      <c r="X100" s="7" t="s">
        <v>72</v>
      </c>
      <c r="Y100" s="6"/>
      <c r="Z100" s="4" t="s">
        <v>72</v>
      </c>
    </row>
    <row r="101">
      <c r="A101" s="1">
        <v>219093.0</v>
      </c>
      <c r="B101" s="1" t="s">
        <v>460</v>
      </c>
      <c r="C101" s="1" t="s">
        <v>461</v>
      </c>
      <c r="D101" s="1" t="s">
        <v>28</v>
      </c>
      <c r="E101" s="2">
        <v>20000.0</v>
      </c>
      <c r="F101" s="2">
        <v>25000.0</v>
      </c>
      <c r="G101" s="1" t="s">
        <v>29</v>
      </c>
      <c r="H101" s="1" t="s">
        <v>459</v>
      </c>
      <c r="I101" s="1" t="s">
        <v>99</v>
      </c>
      <c r="J101" s="1" t="s">
        <v>31</v>
      </c>
      <c r="K101" s="3"/>
      <c r="L101" s="1" t="s">
        <v>51</v>
      </c>
      <c r="M101" s="1" t="s">
        <v>33</v>
      </c>
      <c r="N101" s="1">
        <v>10000.0</v>
      </c>
      <c r="O101" s="1" t="s">
        <v>199</v>
      </c>
      <c r="P101" s="1" t="s">
        <v>35</v>
      </c>
      <c r="Q101" s="1" t="s">
        <v>36</v>
      </c>
      <c r="R101" s="1" t="s">
        <v>35</v>
      </c>
      <c r="S101" s="4" t="s">
        <v>63</v>
      </c>
      <c r="T101" s="1" t="s">
        <v>462</v>
      </c>
      <c r="U101" s="5">
        <f>(F101/E101)-1</f>
        <v>0.25</v>
      </c>
      <c r="V101" s="5">
        <f>ROUNDDOWN(N101/E101,0)</f>
        <v>0</v>
      </c>
      <c r="W101" s="6">
        <f>13.33*E101+N101</f>
        <v>276600</v>
      </c>
      <c r="X101" s="7" t="s">
        <v>72</v>
      </c>
      <c r="Y101" s="6">
        <f>W101+(W101*U101)</f>
        <v>345750</v>
      </c>
      <c r="Z101" s="4" t="s">
        <v>72</v>
      </c>
    </row>
    <row r="102">
      <c r="A102" s="1">
        <v>222938.0</v>
      </c>
      <c r="B102" s="1" t="s">
        <v>463</v>
      </c>
      <c r="C102" s="1" t="s">
        <v>464</v>
      </c>
      <c r="D102" s="1" t="s">
        <v>28</v>
      </c>
      <c r="E102" s="1">
        <v>0.0</v>
      </c>
      <c r="F102" s="1">
        <v>0.0</v>
      </c>
      <c r="G102" s="1" t="s">
        <v>29</v>
      </c>
      <c r="H102" s="1" t="s">
        <v>465</v>
      </c>
      <c r="I102" s="1" t="s">
        <v>466</v>
      </c>
      <c r="J102" s="1" t="s">
        <v>77</v>
      </c>
      <c r="K102" s="3"/>
      <c r="L102" s="1" t="s">
        <v>51</v>
      </c>
      <c r="M102" s="1" t="s">
        <v>33</v>
      </c>
      <c r="N102" s="6"/>
      <c r="O102" s="1" t="s">
        <v>119</v>
      </c>
      <c r="P102" s="1" t="s">
        <v>53</v>
      </c>
      <c r="Q102" s="1" t="s">
        <v>36</v>
      </c>
      <c r="R102" s="1" t="s">
        <v>53</v>
      </c>
      <c r="S102" s="4" t="s">
        <v>63</v>
      </c>
      <c r="T102" s="1" t="s">
        <v>467</v>
      </c>
      <c r="U102" s="5"/>
      <c r="V102" s="5"/>
      <c r="W102" s="6"/>
      <c r="X102" s="7" t="s">
        <v>72</v>
      </c>
      <c r="Y102" s="6"/>
      <c r="Z102" s="4" t="s">
        <v>72</v>
      </c>
    </row>
    <row r="103">
      <c r="A103" s="1">
        <v>110215.0</v>
      </c>
      <c r="B103" s="1" t="s">
        <v>468</v>
      </c>
      <c r="C103" s="1" t="s">
        <v>469</v>
      </c>
      <c r="D103" s="1" t="s">
        <v>28</v>
      </c>
      <c r="E103" s="2">
        <v>45000.0</v>
      </c>
      <c r="F103" s="2">
        <v>45000.0</v>
      </c>
      <c r="G103" s="1" t="s">
        <v>29</v>
      </c>
      <c r="H103" s="1" t="s">
        <v>470</v>
      </c>
      <c r="I103" s="1" t="s">
        <v>42</v>
      </c>
      <c r="J103" s="1" t="s">
        <v>31</v>
      </c>
      <c r="K103" s="1" t="s">
        <v>363</v>
      </c>
      <c r="L103" s="1" t="s">
        <v>32</v>
      </c>
      <c r="M103" s="1" t="s">
        <v>33</v>
      </c>
      <c r="N103" s="1">
        <v>240000.0</v>
      </c>
      <c r="O103" s="1" t="s">
        <v>34</v>
      </c>
      <c r="P103" s="1" t="s">
        <v>35</v>
      </c>
      <c r="Q103" s="1" t="s">
        <v>36</v>
      </c>
      <c r="R103" s="1" t="s">
        <v>35</v>
      </c>
      <c r="S103" s="4" t="s">
        <v>63</v>
      </c>
      <c r="T103" s="1" t="s">
        <v>153</v>
      </c>
      <c r="U103" s="5">
        <f t="shared" ref="U103:U107" si="60">(F103/E103)-1</f>
        <v>0</v>
      </c>
      <c r="V103" s="5">
        <f t="shared" ref="V103:V107" si="61">ROUNDDOWN(N103/E103,0)</f>
        <v>5</v>
      </c>
      <c r="W103" s="6">
        <f t="shared" ref="W103:W107" si="62">13.33*E103+N103</f>
        <v>839850</v>
      </c>
      <c r="X103" s="6" t="str">
        <f t="shared" ref="X103:X107" si="63">IF(W103&lt;100000,"abaixo de R$100.000",IF(AND(W103&gt;=100000,W103&lt;200000),"R$100.000 - R$200.000",IF(AND(W103&gt;=200000,W103&lt;300000),"R$200.000 - R$300.000",IF(AND(W103&gt;=300000,W103&lt;400000),"R$300.000 - R$400.000",IF(AND(W103&gt;=400000,W103&lt;500000),"R$400.000 - R$500.000",IF(AND(W103&gt;=500000,W103&lt;600000),"R$500.000 - R$600.000",IF(AND(W103&gt;=600000,W103&lt;700000),"R$600.000 - R$700.000",IF(AND(W103&gt;=700000,W103&lt;800000),"R$700.000 - R$800.000",IF(AND(W103&gt;=800000,W103&lt;900000),"R$800.000 - R$900.000","Superior a R$900.000")))))))))</f>
        <v>R$800.000 - R$900.000</v>
      </c>
      <c r="Y103" s="6">
        <f t="shared" ref="Y103:Y107" si="64">W103+(W103*U103)</f>
        <v>839850</v>
      </c>
      <c r="Z103" s="3" t="str">
        <f t="shared" ref="Z103:Z107" si="65">IF(Y103&lt;100000,"abaixo de R$100.000",IF(AND(Y103&gt;=100000,Y103&lt;200000),"R$100.000 - R$200.000",IF(AND(Y103&gt;=200000,Y103&lt;300000),"R$200.000 - R$300.000",IF(AND(Y103&gt;=300000,Y103&lt;400000),"R$300.000 - R$400.000",IF(AND(Y103&gt;=400000,Y103&lt;500000),"R$400.000 - R$500.000",IF(AND(Y103&gt;=500000,Y103&lt;600000),"R$500.000 - R$600.000",IF(AND(Y103&gt;=600000,Y103&lt;700000),"R$600.000 - R$700.000",IF(AND(Y103&gt;=700000,Y103&lt;800000),"R$700.000 - R$800.000",IF(AND(Y103&gt;=800000,Y103&lt;900000),"R$800.000 - R$900.000","Superior a R$900.000")))))))))</f>
        <v>R$800.000 - R$900.000</v>
      </c>
    </row>
    <row r="104">
      <c r="A104" s="1">
        <v>209465.0</v>
      </c>
      <c r="B104" s="1" t="s">
        <v>471</v>
      </c>
      <c r="C104" s="1" t="s">
        <v>472</v>
      </c>
      <c r="D104" s="1" t="s">
        <v>28</v>
      </c>
      <c r="E104" s="2">
        <v>32402.0</v>
      </c>
      <c r="F104" s="2">
        <f t="shared" ref="F104:F105" si="66">E104*1.12</f>
        <v>36290.24</v>
      </c>
      <c r="G104" s="1" t="s">
        <v>29</v>
      </c>
      <c r="H104" s="1" t="s">
        <v>473</v>
      </c>
      <c r="I104" s="1" t="s">
        <v>474</v>
      </c>
      <c r="J104" s="1" t="s">
        <v>60</v>
      </c>
      <c r="K104" s="3"/>
      <c r="L104" s="1" t="s">
        <v>51</v>
      </c>
      <c r="M104" s="1" t="s">
        <v>33</v>
      </c>
      <c r="N104" s="1">
        <v>6000.0</v>
      </c>
      <c r="O104" s="1" t="s">
        <v>199</v>
      </c>
      <c r="P104" s="1" t="s">
        <v>35</v>
      </c>
      <c r="Q104" s="1" t="s">
        <v>36</v>
      </c>
      <c r="R104" s="1" t="s">
        <v>35</v>
      </c>
      <c r="S104" s="4" t="s">
        <v>63</v>
      </c>
      <c r="T104" s="1" t="s">
        <v>475</v>
      </c>
      <c r="U104" s="5">
        <f t="shared" si="60"/>
        <v>0.12</v>
      </c>
      <c r="V104" s="5">
        <f t="shared" si="61"/>
        <v>0</v>
      </c>
      <c r="W104" s="6">
        <f t="shared" si="62"/>
        <v>437918.66</v>
      </c>
      <c r="X104" s="6" t="str">
        <f t="shared" si="63"/>
        <v>R$400.000 - R$500.000</v>
      </c>
      <c r="Y104" s="6">
        <f t="shared" si="64"/>
        <v>490468.8992</v>
      </c>
      <c r="Z104" s="3" t="str">
        <f t="shared" si="65"/>
        <v>R$400.000 - R$500.000</v>
      </c>
    </row>
    <row r="105">
      <c r="A105" s="1">
        <v>119520.0</v>
      </c>
      <c r="B105" s="1" t="s">
        <v>476</v>
      </c>
      <c r="C105" s="1" t="s">
        <v>477</v>
      </c>
      <c r="D105" s="1" t="s">
        <v>28</v>
      </c>
      <c r="E105" s="2">
        <v>27000.0</v>
      </c>
      <c r="F105" s="2">
        <f t="shared" si="66"/>
        <v>30240</v>
      </c>
      <c r="G105" s="1" t="s">
        <v>29</v>
      </c>
      <c r="H105" s="1" t="s">
        <v>478</v>
      </c>
      <c r="I105" s="1" t="s">
        <v>479</v>
      </c>
      <c r="J105" s="1" t="s">
        <v>31</v>
      </c>
      <c r="K105" s="1" t="s">
        <v>68</v>
      </c>
      <c r="L105" s="1" t="s">
        <v>51</v>
      </c>
      <c r="M105" s="1" t="s">
        <v>52</v>
      </c>
      <c r="N105" s="1">
        <v>120000.0</v>
      </c>
      <c r="O105" s="1" t="s">
        <v>140</v>
      </c>
      <c r="P105" s="1" t="s">
        <v>53</v>
      </c>
      <c r="Q105" s="1" t="s">
        <v>36</v>
      </c>
      <c r="R105" s="1" t="s">
        <v>35</v>
      </c>
      <c r="S105" s="4" t="s">
        <v>63</v>
      </c>
      <c r="T105" s="1" t="s">
        <v>480</v>
      </c>
      <c r="U105" s="5">
        <f t="shared" si="60"/>
        <v>0.12</v>
      </c>
      <c r="V105" s="5">
        <f t="shared" si="61"/>
        <v>4</v>
      </c>
      <c r="W105" s="6">
        <f t="shared" si="62"/>
        <v>479910</v>
      </c>
      <c r="X105" s="6" t="str">
        <f t="shared" si="63"/>
        <v>R$400.000 - R$500.000</v>
      </c>
      <c r="Y105" s="6">
        <f t="shared" si="64"/>
        <v>537499.2</v>
      </c>
      <c r="Z105" s="3" t="str">
        <f t="shared" si="65"/>
        <v>R$500.000 - R$600.000</v>
      </c>
    </row>
    <row r="106">
      <c r="A106" s="1">
        <v>120669.0</v>
      </c>
      <c r="B106" s="1" t="s">
        <v>481</v>
      </c>
      <c r="C106" s="1" t="s">
        <v>482</v>
      </c>
      <c r="D106" s="1" t="s">
        <v>132</v>
      </c>
      <c r="E106" s="2">
        <v>28000.0</v>
      </c>
      <c r="F106" s="2">
        <v>30000.0</v>
      </c>
      <c r="G106" s="1" t="s">
        <v>29</v>
      </c>
      <c r="H106" s="1" t="s">
        <v>342</v>
      </c>
      <c r="I106" s="1" t="s">
        <v>31</v>
      </c>
      <c r="J106" s="1" t="s">
        <v>31</v>
      </c>
      <c r="K106" s="3"/>
      <c r="L106" s="1" t="s">
        <v>32</v>
      </c>
      <c r="M106" s="1" t="s">
        <v>33</v>
      </c>
      <c r="N106" s="1">
        <v>28000.0</v>
      </c>
      <c r="O106" s="1" t="s">
        <v>34</v>
      </c>
      <c r="P106" s="1" t="s">
        <v>35</v>
      </c>
      <c r="Q106" s="1" t="s">
        <v>172</v>
      </c>
      <c r="R106" s="1" t="s">
        <v>35</v>
      </c>
      <c r="S106" s="3"/>
      <c r="T106" s="1" t="s">
        <v>483</v>
      </c>
      <c r="U106" s="5">
        <f t="shared" si="60"/>
        <v>0.07142857143</v>
      </c>
      <c r="V106" s="5">
        <f t="shared" si="61"/>
        <v>1</v>
      </c>
      <c r="W106" s="6">
        <f t="shared" si="62"/>
        <v>401240</v>
      </c>
      <c r="X106" s="6" t="str">
        <f t="shared" si="63"/>
        <v>R$400.000 - R$500.000</v>
      </c>
      <c r="Y106" s="6">
        <f t="shared" si="64"/>
        <v>429900</v>
      </c>
      <c r="Z106" s="3" t="str">
        <f t="shared" si="65"/>
        <v>R$400.000 - R$500.000</v>
      </c>
    </row>
    <row r="107">
      <c r="A107" s="1">
        <v>219271.0</v>
      </c>
      <c r="B107" s="1" t="s">
        <v>484</v>
      </c>
      <c r="C107" s="1" t="s">
        <v>485</v>
      </c>
      <c r="D107" s="1" t="s">
        <v>28</v>
      </c>
      <c r="E107" s="2">
        <v>28460.0</v>
      </c>
      <c r="F107" s="2">
        <v>34152.0</v>
      </c>
      <c r="G107" s="1" t="s">
        <v>29</v>
      </c>
      <c r="H107" s="1" t="s">
        <v>478</v>
      </c>
      <c r="I107" s="1" t="s">
        <v>486</v>
      </c>
      <c r="J107" s="1" t="s">
        <v>50</v>
      </c>
      <c r="K107" s="3"/>
      <c r="L107" s="1" t="s">
        <v>32</v>
      </c>
      <c r="M107" s="1" t="s">
        <v>33</v>
      </c>
      <c r="N107" s="1">
        <v>180000.0</v>
      </c>
      <c r="O107" s="1" t="s">
        <v>78</v>
      </c>
      <c r="P107" s="1" t="s">
        <v>53</v>
      </c>
      <c r="Q107" s="1" t="s">
        <v>54</v>
      </c>
      <c r="R107" s="1" t="s">
        <v>35</v>
      </c>
      <c r="S107" s="4" t="s">
        <v>63</v>
      </c>
      <c r="T107" s="1" t="s">
        <v>487</v>
      </c>
      <c r="U107" s="5">
        <f t="shared" si="60"/>
        <v>0.2</v>
      </c>
      <c r="V107" s="5">
        <f t="shared" si="61"/>
        <v>6</v>
      </c>
      <c r="W107" s="6">
        <f t="shared" si="62"/>
        <v>559371.8</v>
      </c>
      <c r="X107" s="6" t="str">
        <f t="shared" si="63"/>
        <v>R$500.000 - R$600.000</v>
      </c>
      <c r="Y107" s="6">
        <f t="shared" si="64"/>
        <v>671246.16</v>
      </c>
      <c r="Z107" s="3" t="str">
        <f t="shared" si="65"/>
        <v>R$600.000 - R$700.000</v>
      </c>
    </row>
    <row r="108">
      <c r="A108" s="1">
        <v>222920.0</v>
      </c>
      <c r="B108" s="1" t="s">
        <v>488</v>
      </c>
      <c r="C108" s="1" t="s">
        <v>489</v>
      </c>
      <c r="D108" s="1" t="s">
        <v>28</v>
      </c>
      <c r="E108" s="1">
        <v>0.0</v>
      </c>
      <c r="F108" s="1">
        <v>0.0</v>
      </c>
      <c r="G108" s="1" t="s">
        <v>75</v>
      </c>
      <c r="H108" s="1" t="s">
        <v>478</v>
      </c>
      <c r="I108" s="1" t="s">
        <v>212</v>
      </c>
      <c r="J108" s="1" t="s">
        <v>60</v>
      </c>
      <c r="K108" s="3"/>
      <c r="L108" s="1" t="s">
        <v>61</v>
      </c>
      <c r="M108" s="1" t="s">
        <v>52</v>
      </c>
      <c r="N108" s="6"/>
      <c r="O108" s="1" t="s">
        <v>119</v>
      </c>
      <c r="P108" s="1" t="s">
        <v>35</v>
      </c>
      <c r="Q108" s="1" t="s">
        <v>54</v>
      </c>
      <c r="R108" s="1" t="s">
        <v>35</v>
      </c>
      <c r="S108" s="4" t="s">
        <v>63</v>
      </c>
      <c r="T108" s="1" t="s">
        <v>490</v>
      </c>
      <c r="U108" s="5"/>
      <c r="V108" s="5"/>
      <c r="W108" s="6"/>
      <c r="X108" s="7" t="s">
        <v>72</v>
      </c>
      <c r="Y108" s="6"/>
      <c r="Z108" s="4" t="s">
        <v>72</v>
      </c>
    </row>
    <row r="109">
      <c r="A109" s="1">
        <v>144325.0</v>
      </c>
      <c r="B109" s="1" t="s">
        <v>491</v>
      </c>
      <c r="C109" s="1" t="s">
        <v>478</v>
      </c>
      <c r="D109" s="1" t="s">
        <v>28</v>
      </c>
      <c r="E109" s="1">
        <v>0.0</v>
      </c>
      <c r="F109" s="1">
        <v>0.0</v>
      </c>
      <c r="G109" s="1" t="s">
        <v>29</v>
      </c>
      <c r="H109" s="1" t="s">
        <v>478</v>
      </c>
      <c r="I109" s="1" t="s">
        <v>492</v>
      </c>
      <c r="J109" s="1" t="s">
        <v>77</v>
      </c>
      <c r="K109" s="3"/>
      <c r="L109" s="1" t="s">
        <v>32</v>
      </c>
      <c r="M109" s="1" t="s">
        <v>69</v>
      </c>
      <c r="N109" s="6"/>
      <c r="O109" s="1" t="s">
        <v>449</v>
      </c>
      <c r="P109" s="1" t="s">
        <v>35</v>
      </c>
      <c r="Q109" s="1" t="s">
        <v>54</v>
      </c>
      <c r="R109" s="1" t="s">
        <v>35</v>
      </c>
      <c r="S109" s="4" t="s">
        <v>63</v>
      </c>
      <c r="T109" s="1" t="s">
        <v>375</v>
      </c>
      <c r="U109" s="5"/>
      <c r="V109" s="5"/>
      <c r="W109" s="6"/>
      <c r="X109" s="7" t="s">
        <v>72</v>
      </c>
      <c r="Y109" s="6"/>
      <c r="Z109" s="4" t="s">
        <v>72</v>
      </c>
    </row>
    <row r="110">
      <c r="A110" s="1">
        <v>180542.0</v>
      </c>
      <c r="B110" s="1" t="s">
        <v>493</v>
      </c>
      <c r="C110" s="1" t="s">
        <v>494</v>
      </c>
      <c r="D110" s="1" t="s">
        <v>28</v>
      </c>
      <c r="E110" s="1">
        <v>0.0</v>
      </c>
      <c r="F110" s="1">
        <v>0.0</v>
      </c>
      <c r="G110" s="1" t="s">
        <v>29</v>
      </c>
      <c r="H110" s="1" t="s">
        <v>478</v>
      </c>
      <c r="I110" s="1" t="s">
        <v>128</v>
      </c>
      <c r="J110" s="1" t="s">
        <v>60</v>
      </c>
      <c r="K110" s="3"/>
      <c r="L110" s="1" t="s">
        <v>51</v>
      </c>
      <c r="M110" s="1" t="s">
        <v>33</v>
      </c>
      <c r="N110" s="6"/>
      <c r="O110" s="1" t="s">
        <v>140</v>
      </c>
      <c r="P110" s="1" t="s">
        <v>35</v>
      </c>
      <c r="Q110" s="1" t="s">
        <v>36</v>
      </c>
      <c r="R110" s="1" t="s">
        <v>35</v>
      </c>
      <c r="S110" s="4" t="s">
        <v>63</v>
      </c>
      <c r="T110" s="1" t="s">
        <v>495</v>
      </c>
      <c r="U110" s="5"/>
      <c r="V110" s="5"/>
      <c r="W110" s="6"/>
      <c r="X110" s="7" t="s">
        <v>72</v>
      </c>
      <c r="Y110" s="6"/>
      <c r="Z110" s="4" t="s">
        <v>150</v>
      </c>
    </row>
    <row r="111">
      <c r="A111" s="1">
        <v>222551.0</v>
      </c>
      <c r="B111" s="1" t="s">
        <v>496</v>
      </c>
      <c r="C111" s="1" t="s">
        <v>497</v>
      </c>
      <c r="D111" s="1" t="s">
        <v>28</v>
      </c>
      <c r="E111" s="1">
        <v>0.0</v>
      </c>
      <c r="F111" s="1">
        <v>0.0</v>
      </c>
      <c r="G111" s="1" t="s">
        <v>29</v>
      </c>
      <c r="H111" s="1" t="s">
        <v>478</v>
      </c>
      <c r="I111" s="1" t="s">
        <v>148</v>
      </c>
      <c r="J111" s="1" t="s">
        <v>77</v>
      </c>
      <c r="K111" s="3"/>
      <c r="L111" s="1" t="s">
        <v>32</v>
      </c>
      <c r="M111" s="1" t="s">
        <v>33</v>
      </c>
      <c r="N111" s="3"/>
      <c r="O111" s="1" t="s">
        <v>62</v>
      </c>
      <c r="P111" s="1" t="s">
        <v>35</v>
      </c>
      <c r="Q111" s="1" t="s">
        <v>172</v>
      </c>
      <c r="R111" s="1" t="s">
        <v>53</v>
      </c>
      <c r="S111" s="4" t="s">
        <v>63</v>
      </c>
      <c r="T111" s="1" t="s">
        <v>498</v>
      </c>
      <c r="U111" s="5"/>
      <c r="V111" s="5"/>
      <c r="W111" s="6"/>
      <c r="X111" s="7" t="s">
        <v>72</v>
      </c>
      <c r="Y111" s="6"/>
      <c r="Z111" s="4" t="s">
        <v>150</v>
      </c>
    </row>
    <row r="112">
      <c r="A112" s="1">
        <v>166290.0</v>
      </c>
      <c r="B112" s="1" t="s">
        <v>499</v>
      </c>
      <c r="C112" s="1" t="s">
        <v>500</v>
      </c>
      <c r="D112" s="1" t="s">
        <v>28</v>
      </c>
      <c r="E112" s="1">
        <v>0.0</v>
      </c>
      <c r="F112" s="1">
        <v>0.0</v>
      </c>
      <c r="G112" s="1" t="s">
        <v>29</v>
      </c>
      <c r="H112" s="1" t="s">
        <v>478</v>
      </c>
      <c r="I112" s="1" t="s">
        <v>212</v>
      </c>
      <c r="J112" s="1" t="s">
        <v>60</v>
      </c>
      <c r="K112" s="3"/>
      <c r="L112" s="1" t="s">
        <v>32</v>
      </c>
      <c r="M112" s="1" t="s">
        <v>52</v>
      </c>
      <c r="N112" s="3"/>
      <c r="O112" s="1" t="s">
        <v>280</v>
      </c>
      <c r="P112" s="1" t="s">
        <v>53</v>
      </c>
      <c r="Q112" s="1" t="s">
        <v>36</v>
      </c>
      <c r="R112" s="1" t="s">
        <v>35</v>
      </c>
      <c r="S112" s="4" t="s">
        <v>63</v>
      </c>
      <c r="T112" s="1" t="s">
        <v>501</v>
      </c>
      <c r="U112" s="5"/>
      <c r="V112" s="5"/>
      <c r="W112" s="6"/>
      <c r="X112" s="7" t="s">
        <v>72</v>
      </c>
      <c r="Y112" s="6"/>
      <c r="Z112" s="4" t="s">
        <v>150</v>
      </c>
    </row>
    <row r="113">
      <c r="A113" s="1">
        <v>222467.0</v>
      </c>
      <c r="B113" s="1" t="s">
        <v>502</v>
      </c>
      <c r="C113" s="1" t="s">
        <v>503</v>
      </c>
      <c r="D113" s="1" t="s">
        <v>28</v>
      </c>
      <c r="E113" s="1">
        <v>0.0</v>
      </c>
      <c r="F113" s="1">
        <v>0.0</v>
      </c>
      <c r="G113" s="1" t="s">
        <v>75</v>
      </c>
      <c r="H113" s="1" t="s">
        <v>478</v>
      </c>
      <c r="I113" s="1" t="s">
        <v>504</v>
      </c>
      <c r="J113" s="1" t="s">
        <v>77</v>
      </c>
      <c r="K113" s="3"/>
      <c r="L113" s="1" t="s">
        <v>61</v>
      </c>
      <c r="M113" s="1" t="s">
        <v>52</v>
      </c>
      <c r="N113" s="3"/>
      <c r="O113" s="1" t="s">
        <v>78</v>
      </c>
      <c r="P113" s="1" t="s">
        <v>53</v>
      </c>
      <c r="Q113" s="1" t="s">
        <v>36</v>
      </c>
      <c r="R113" s="1" t="s">
        <v>53</v>
      </c>
      <c r="S113" s="4" t="s">
        <v>63</v>
      </c>
      <c r="T113" s="1" t="s">
        <v>505</v>
      </c>
      <c r="U113" s="5"/>
      <c r="V113" s="5"/>
      <c r="W113" s="6"/>
      <c r="X113" s="7" t="s">
        <v>72</v>
      </c>
      <c r="Y113" s="6"/>
      <c r="Z113" s="4" t="s">
        <v>150</v>
      </c>
    </row>
    <row r="114">
      <c r="A114" s="1">
        <v>222450.0</v>
      </c>
      <c r="B114" s="1" t="s">
        <v>506</v>
      </c>
      <c r="C114" s="1" t="s">
        <v>507</v>
      </c>
      <c r="D114" s="1" t="s">
        <v>28</v>
      </c>
      <c r="E114" s="1">
        <v>0.0</v>
      </c>
      <c r="F114" s="1">
        <v>0.0</v>
      </c>
      <c r="G114" s="1" t="s">
        <v>29</v>
      </c>
      <c r="H114" s="1" t="s">
        <v>478</v>
      </c>
      <c r="I114" s="1" t="s">
        <v>31</v>
      </c>
      <c r="J114" s="1" t="s">
        <v>31</v>
      </c>
      <c r="K114" s="3"/>
      <c r="L114" s="1" t="s">
        <v>61</v>
      </c>
      <c r="M114" s="1" t="s">
        <v>52</v>
      </c>
      <c r="N114" s="3"/>
      <c r="O114" s="1" t="s">
        <v>62</v>
      </c>
      <c r="P114" s="1" t="s">
        <v>35</v>
      </c>
      <c r="Q114" s="1" t="s">
        <v>36</v>
      </c>
      <c r="R114" s="1" t="s">
        <v>35</v>
      </c>
      <c r="S114" s="4" t="s">
        <v>63</v>
      </c>
      <c r="T114" s="1" t="s">
        <v>400</v>
      </c>
      <c r="U114" s="5"/>
      <c r="V114" s="5"/>
      <c r="W114" s="6"/>
      <c r="X114" s="7" t="s">
        <v>72</v>
      </c>
      <c r="Y114" s="6"/>
      <c r="Z114" s="4" t="s">
        <v>150</v>
      </c>
    </row>
    <row r="115">
      <c r="A115" s="1">
        <v>222422.0</v>
      </c>
      <c r="B115" s="1" t="s">
        <v>508</v>
      </c>
      <c r="C115" s="1" t="s">
        <v>509</v>
      </c>
      <c r="D115" s="1" t="s">
        <v>28</v>
      </c>
      <c r="E115" s="1">
        <v>0.0</v>
      </c>
      <c r="F115" s="1">
        <v>0.0</v>
      </c>
      <c r="G115" s="1" t="s">
        <v>29</v>
      </c>
      <c r="H115" s="1" t="s">
        <v>478</v>
      </c>
      <c r="I115" s="1" t="s">
        <v>510</v>
      </c>
      <c r="J115" s="1" t="s">
        <v>77</v>
      </c>
      <c r="K115" s="3"/>
      <c r="L115" s="1" t="s">
        <v>51</v>
      </c>
      <c r="M115" s="1" t="s">
        <v>33</v>
      </c>
      <c r="N115" s="3"/>
      <c r="O115" s="1" t="s">
        <v>34</v>
      </c>
      <c r="P115" s="1" t="s">
        <v>35</v>
      </c>
      <c r="Q115" s="1" t="s">
        <v>54</v>
      </c>
      <c r="R115" s="1" t="s">
        <v>35</v>
      </c>
      <c r="S115" s="4" t="s">
        <v>63</v>
      </c>
      <c r="T115" s="1" t="s">
        <v>273</v>
      </c>
      <c r="U115" s="5"/>
      <c r="V115" s="5"/>
      <c r="W115" s="6"/>
      <c r="X115" s="7" t="s">
        <v>72</v>
      </c>
      <c r="Y115" s="6"/>
      <c r="Z115" s="4" t="s">
        <v>150</v>
      </c>
    </row>
    <row r="116">
      <c r="A116" s="1">
        <v>222388.0</v>
      </c>
      <c r="B116" s="1" t="s">
        <v>511</v>
      </c>
      <c r="C116" s="1">
        <v>8600.0</v>
      </c>
      <c r="D116" s="1" t="s">
        <v>28</v>
      </c>
      <c r="E116" s="1">
        <v>0.0</v>
      </c>
      <c r="F116" s="1">
        <v>0.0</v>
      </c>
      <c r="G116" s="1" t="s">
        <v>29</v>
      </c>
      <c r="H116" s="1" t="s">
        <v>478</v>
      </c>
      <c r="I116" s="1" t="s">
        <v>512</v>
      </c>
      <c r="J116" s="1" t="s">
        <v>77</v>
      </c>
      <c r="K116" s="3"/>
      <c r="L116" s="1" t="s">
        <v>32</v>
      </c>
      <c r="M116" s="1" t="s">
        <v>33</v>
      </c>
      <c r="N116" s="3"/>
      <c r="O116" s="1" t="s">
        <v>70</v>
      </c>
      <c r="P116" s="1" t="s">
        <v>35</v>
      </c>
      <c r="Q116" s="1" t="s">
        <v>54</v>
      </c>
      <c r="R116" s="1" t="s">
        <v>35</v>
      </c>
      <c r="S116" s="4" t="s">
        <v>37</v>
      </c>
      <c r="T116" s="1" t="s">
        <v>513</v>
      </c>
      <c r="U116" s="5"/>
      <c r="V116" s="5"/>
      <c r="W116" s="6"/>
      <c r="X116" s="7" t="s">
        <v>72</v>
      </c>
      <c r="Y116" s="6"/>
      <c r="Z116" s="4" t="s">
        <v>150</v>
      </c>
    </row>
    <row r="117">
      <c r="A117" s="1">
        <v>222301.0</v>
      </c>
      <c r="B117" s="1" t="s">
        <v>514</v>
      </c>
      <c r="C117" s="1" t="s">
        <v>515</v>
      </c>
      <c r="D117" s="1" t="s">
        <v>28</v>
      </c>
      <c r="E117" s="2">
        <v>12000.0</v>
      </c>
      <c r="F117" s="2">
        <v>15000.0</v>
      </c>
      <c r="G117" s="1" t="s">
        <v>29</v>
      </c>
      <c r="H117" s="1" t="s">
        <v>478</v>
      </c>
      <c r="I117" s="1" t="s">
        <v>516</v>
      </c>
      <c r="J117" s="1" t="s">
        <v>60</v>
      </c>
      <c r="K117" s="3"/>
      <c r="L117" s="1" t="s">
        <v>51</v>
      </c>
      <c r="M117" s="1" t="s">
        <v>69</v>
      </c>
      <c r="N117" s="1">
        <v>30000.0</v>
      </c>
      <c r="O117" s="1" t="s">
        <v>70</v>
      </c>
      <c r="P117" s="1" t="s">
        <v>53</v>
      </c>
      <c r="Q117" s="1" t="s">
        <v>36</v>
      </c>
      <c r="R117" s="1" t="s">
        <v>53</v>
      </c>
      <c r="S117" s="4" t="s">
        <v>63</v>
      </c>
      <c r="T117" s="1" t="s">
        <v>517</v>
      </c>
      <c r="U117" s="5">
        <f t="shared" ref="U117:U128" si="67">(F117/E117)-1</f>
        <v>0.25</v>
      </c>
      <c r="V117" s="5">
        <f t="shared" ref="V117:V128" si="68">ROUNDDOWN(N117/E117,0)</f>
        <v>2</v>
      </c>
      <c r="W117" s="6">
        <f t="shared" ref="W117:W128" si="69">13.33*E117+N117</f>
        <v>189960</v>
      </c>
      <c r="X117" s="4" t="s">
        <v>150</v>
      </c>
      <c r="Y117" s="6">
        <f t="shared" ref="Y117:Y128" si="70">W117+(W117*U117)</f>
        <v>237450</v>
      </c>
      <c r="Z117" s="4" t="s">
        <v>150</v>
      </c>
    </row>
    <row r="118">
      <c r="A118" s="1">
        <v>222701.0</v>
      </c>
      <c r="B118" s="1" t="s">
        <v>518</v>
      </c>
      <c r="C118" s="1" t="s">
        <v>519</v>
      </c>
      <c r="D118" s="1" t="s">
        <v>28</v>
      </c>
      <c r="E118" s="2">
        <v>13000.0</v>
      </c>
      <c r="F118" s="2">
        <v>15000.0</v>
      </c>
      <c r="G118" s="1" t="s">
        <v>75</v>
      </c>
      <c r="H118" s="1" t="s">
        <v>478</v>
      </c>
      <c r="I118" s="1" t="s">
        <v>520</v>
      </c>
      <c r="J118" s="1" t="s">
        <v>77</v>
      </c>
      <c r="K118" s="3"/>
      <c r="L118" s="1" t="s">
        <v>61</v>
      </c>
      <c r="M118" s="1" t="s">
        <v>52</v>
      </c>
      <c r="N118" s="1">
        <v>12000.0</v>
      </c>
      <c r="O118" s="1" t="s">
        <v>34</v>
      </c>
      <c r="P118" s="1" t="s">
        <v>53</v>
      </c>
      <c r="Q118" s="1" t="s">
        <v>54</v>
      </c>
      <c r="R118" s="1" t="s">
        <v>35</v>
      </c>
      <c r="S118" s="4" t="s">
        <v>63</v>
      </c>
      <c r="T118" s="1" t="s">
        <v>521</v>
      </c>
      <c r="U118" s="5">
        <f t="shared" si="67"/>
        <v>0.1538461538</v>
      </c>
      <c r="V118" s="5">
        <f t="shared" si="68"/>
        <v>0</v>
      </c>
      <c r="W118" s="6">
        <f t="shared" si="69"/>
        <v>185290</v>
      </c>
      <c r="X118" s="4" t="s">
        <v>150</v>
      </c>
      <c r="Y118" s="6">
        <f t="shared" si="70"/>
        <v>213796.1538</v>
      </c>
      <c r="Z118" s="4" t="s">
        <v>150</v>
      </c>
    </row>
    <row r="119">
      <c r="A119" s="1">
        <v>221182.0</v>
      </c>
      <c r="B119" s="1" t="s">
        <v>522</v>
      </c>
      <c r="C119" s="1" t="s">
        <v>523</v>
      </c>
      <c r="D119" s="1" t="s">
        <v>28</v>
      </c>
      <c r="E119" s="2">
        <v>15000.0</v>
      </c>
      <c r="F119" s="2">
        <v>15000.0</v>
      </c>
      <c r="G119" s="1" t="s">
        <v>29</v>
      </c>
      <c r="H119" s="1" t="s">
        <v>478</v>
      </c>
      <c r="I119" s="1" t="s">
        <v>60</v>
      </c>
      <c r="J119" s="1" t="s">
        <v>60</v>
      </c>
      <c r="K119" s="3"/>
      <c r="L119" s="1" t="s">
        <v>32</v>
      </c>
      <c r="M119" s="1" t="s">
        <v>52</v>
      </c>
      <c r="N119" s="1">
        <v>20000.0</v>
      </c>
      <c r="O119" s="1" t="s">
        <v>449</v>
      </c>
      <c r="P119" s="1" t="s">
        <v>53</v>
      </c>
      <c r="Q119" s="1" t="s">
        <v>54</v>
      </c>
      <c r="R119" s="1" t="s">
        <v>35</v>
      </c>
      <c r="S119" s="4" t="s">
        <v>63</v>
      </c>
      <c r="T119" s="1" t="s">
        <v>524</v>
      </c>
      <c r="U119" s="5">
        <f t="shared" si="67"/>
        <v>0</v>
      </c>
      <c r="V119" s="5">
        <f t="shared" si="68"/>
        <v>1</v>
      </c>
      <c r="W119" s="6">
        <f t="shared" si="69"/>
        <v>219950</v>
      </c>
      <c r="X119" s="4" t="s">
        <v>150</v>
      </c>
      <c r="Y119" s="6">
        <f t="shared" si="70"/>
        <v>219950</v>
      </c>
      <c r="Z119" s="4" t="s">
        <v>150</v>
      </c>
    </row>
    <row r="120">
      <c r="A120" s="1">
        <v>116776.0</v>
      </c>
      <c r="B120" s="1" t="s">
        <v>525</v>
      </c>
      <c r="C120" s="1" t="s">
        <v>526</v>
      </c>
      <c r="D120" s="1" t="s">
        <v>28</v>
      </c>
      <c r="E120" s="2">
        <v>15000.0</v>
      </c>
      <c r="F120" s="2">
        <v>18000.0</v>
      </c>
      <c r="G120" s="1" t="s">
        <v>29</v>
      </c>
      <c r="H120" s="1" t="s">
        <v>478</v>
      </c>
      <c r="I120" s="1" t="s">
        <v>512</v>
      </c>
      <c r="J120" s="1" t="s">
        <v>77</v>
      </c>
      <c r="K120" s="3"/>
      <c r="L120" s="1" t="s">
        <v>61</v>
      </c>
      <c r="M120" s="1" t="s">
        <v>52</v>
      </c>
      <c r="N120" s="1">
        <v>20000.0</v>
      </c>
      <c r="O120" s="1" t="s">
        <v>78</v>
      </c>
      <c r="P120" s="1" t="s">
        <v>35</v>
      </c>
      <c r="Q120" s="1" t="s">
        <v>36</v>
      </c>
      <c r="R120" s="1" t="s">
        <v>35</v>
      </c>
      <c r="S120" s="4" t="s">
        <v>63</v>
      </c>
      <c r="T120" s="1" t="s">
        <v>264</v>
      </c>
      <c r="U120" s="5">
        <f t="shared" si="67"/>
        <v>0.2</v>
      </c>
      <c r="V120" s="5">
        <f t="shared" si="68"/>
        <v>1</v>
      </c>
      <c r="W120" s="6">
        <f t="shared" si="69"/>
        <v>219950</v>
      </c>
      <c r="X120" s="4" t="s">
        <v>150</v>
      </c>
      <c r="Y120" s="6">
        <f t="shared" si="70"/>
        <v>263940</v>
      </c>
      <c r="Z120" s="4" t="s">
        <v>150</v>
      </c>
    </row>
    <row r="121">
      <c r="A121" s="1">
        <v>222614.0</v>
      </c>
      <c r="B121" s="1" t="s">
        <v>527</v>
      </c>
      <c r="C121" s="1" t="s">
        <v>528</v>
      </c>
      <c r="D121" s="1" t="s">
        <v>28</v>
      </c>
      <c r="E121" s="2">
        <v>20000.0</v>
      </c>
      <c r="F121" s="2">
        <v>25000.0</v>
      </c>
      <c r="G121" s="1" t="s">
        <v>29</v>
      </c>
      <c r="H121" s="1" t="s">
        <v>478</v>
      </c>
      <c r="I121" s="1" t="s">
        <v>31</v>
      </c>
      <c r="J121" s="1" t="s">
        <v>31</v>
      </c>
      <c r="K121" s="3"/>
      <c r="L121" s="1" t="s">
        <v>32</v>
      </c>
      <c r="M121" s="1" t="s">
        <v>33</v>
      </c>
      <c r="N121" s="1">
        <v>60000.0</v>
      </c>
      <c r="O121" s="1" t="s">
        <v>78</v>
      </c>
      <c r="P121" s="1" t="s">
        <v>35</v>
      </c>
      <c r="Q121" s="1" t="s">
        <v>36</v>
      </c>
      <c r="R121" s="1" t="s">
        <v>35</v>
      </c>
      <c r="S121" s="4" t="s">
        <v>37</v>
      </c>
      <c r="T121" s="1" t="s">
        <v>529</v>
      </c>
      <c r="U121" s="5">
        <f t="shared" si="67"/>
        <v>0.25</v>
      </c>
      <c r="V121" s="5">
        <f t="shared" si="68"/>
        <v>3</v>
      </c>
      <c r="W121" s="6">
        <f t="shared" si="69"/>
        <v>326600</v>
      </c>
      <c r="X121" s="6"/>
      <c r="Y121" s="6">
        <f t="shared" si="70"/>
        <v>408250</v>
      </c>
      <c r="Z121" s="3" t="str">
        <f>IF(Y121&lt;100000,"abaixo de R$100.000",IF(AND(Y121&gt;=100000,Y121&lt;200000),"R$100.000 - R$200.000",IF(AND(Y121&gt;=200000,Y121&lt;300000),"R$200.000 - R$300.000",IF(AND(Y121&gt;=300000,Y121&lt;400000),"R$300.000 - R$400.000",IF(AND(Y121&gt;=400000,Y121&lt;500000),"R$400.000 - R$500.000",IF(AND(Y121&gt;=500000,Y121&lt;600000),"R$500.000 - R$600.000",IF(AND(Y121&gt;=600000,Y121&lt;700000),"R$600.000 - R$700.000",IF(AND(Y121&gt;=700000,Y121&lt;800000),"R$700.000 - R$800.000",IF(AND(Y121&gt;=800000,Y121&lt;900000),"R$800.000 - R$900.000","Superior a R$900.000")))))))))</f>
        <v>R$400.000 - R$500.000</v>
      </c>
    </row>
    <row r="122">
      <c r="A122" s="1">
        <v>204671.0</v>
      </c>
      <c r="B122" s="1" t="s">
        <v>530</v>
      </c>
      <c r="C122" s="1" t="s">
        <v>531</v>
      </c>
      <c r="D122" s="1" t="s">
        <v>28</v>
      </c>
      <c r="E122" s="2">
        <v>20000.0</v>
      </c>
      <c r="F122" s="2">
        <v>25000.0</v>
      </c>
      <c r="G122" s="1" t="s">
        <v>29</v>
      </c>
      <c r="H122" s="1" t="s">
        <v>478</v>
      </c>
      <c r="I122" s="1" t="s">
        <v>532</v>
      </c>
      <c r="J122" s="1" t="s">
        <v>60</v>
      </c>
      <c r="K122" s="3"/>
      <c r="L122" s="1" t="s">
        <v>32</v>
      </c>
      <c r="M122" s="1" t="s">
        <v>52</v>
      </c>
      <c r="N122" s="1">
        <v>50000.0</v>
      </c>
      <c r="O122" s="1" t="s">
        <v>70</v>
      </c>
      <c r="P122" s="1" t="s">
        <v>53</v>
      </c>
      <c r="Q122" s="1" t="s">
        <v>172</v>
      </c>
      <c r="R122" s="1" t="s">
        <v>53</v>
      </c>
      <c r="S122" s="4" t="s">
        <v>37</v>
      </c>
      <c r="T122" s="1" t="s">
        <v>533</v>
      </c>
      <c r="U122" s="5">
        <f t="shared" si="67"/>
        <v>0.25</v>
      </c>
      <c r="V122" s="5">
        <f t="shared" si="68"/>
        <v>2</v>
      </c>
      <c r="W122" s="6">
        <f t="shared" si="69"/>
        <v>316600</v>
      </c>
      <c r="X122" s="4" t="s">
        <v>150</v>
      </c>
      <c r="Y122" s="6">
        <f t="shared" si="70"/>
        <v>395750</v>
      </c>
      <c r="Z122" s="4" t="s">
        <v>150</v>
      </c>
    </row>
    <row r="123">
      <c r="A123" s="1">
        <v>105441.0</v>
      </c>
      <c r="B123" s="1" t="s">
        <v>534</v>
      </c>
      <c r="C123" s="1" t="s">
        <v>535</v>
      </c>
      <c r="D123" s="1" t="s">
        <v>28</v>
      </c>
      <c r="E123" s="2">
        <v>15000.0</v>
      </c>
      <c r="F123" s="2">
        <v>20000.0</v>
      </c>
      <c r="G123" s="1" t="s">
        <v>75</v>
      </c>
      <c r="H123" s="1" t="s">
        <v>536</v>
      </c>
      <c r="I123" s="1" t="s">
        <v>148</v>
      </c>
      <c r="J123" s="1" t="s">
        <v>77</v>
      </c>
      <c r="K123" s="3"/>
      <c r="L123" s="1" t="s">
        <v>61</v>
      </c>
      <c r="M123" s="1" t="s">
        <v>69</v>
      </c>
      <c r="N123" s="1">
        <v>100000.0</v>
      </c>
      <c r="O123" s="1" t="s">
        <v>70</v>
      </c>
      <c r="P123" s="1" t="s">
        <v>35</v>
      </c>
      <c r="Q123" s="1" t="s">
        <v>36</v>
      </c>
      <c r="R123" s="1" t="s">
        <v>35</v>
      </c>
      <c r="S123" s="4" t="s">
        <v>63</v>
      </c>
      <c r="T123" s="1" t="s">
        <v>537</v>
      </c>
      <c r="U123" s="5">
        <f t="shared" si="67"/>
        <v>0.3333333333</v>
      </c>
      <c r="V123" s="5">
        <f t="shared" si="68"/>
        <v>6</v>
      </c>
      <c r="W123" s="6">
        <f t="shared" si="69"/>
        <v>299950</v>
      </c>
      <c r="X123" s="4" t="s">
        <v>150</v>
      </c>
      <c r="Y123" s="6">
        <f t="shared" si="70"/>
        <v>399933.3333</v>
      </c>
      <c r="Z123" s="4" t="s">
        <v>150</v>
      </c>
    </row>
    <row r="124">
      <c r="A124" s="1">
        <v>222491.0</v>
      </c>
      <c r="B124" s="1" t="s">
        <v>538</v>
      </c>
      <c r="C124" s="1" t="s">
        <v>539</v>
      </c>
      <c r="D124" s="1" t="s">
        <v>28</v>
      </c>
      <c r="E124" s="2">
        <v>22000.0</v>
      </c>
      <c r="F124" s="2">
        <v>26400.0</v>
      </c>
      <c r="G124" s="1" t="s">
        <v>29</v>
      </c>
      <c r="H124" s="1" t="s">
        <v>540</v>
      </c>
      <c r="I124" s="1" t="s">
        <v>541</v>
      </c>
      <c r="J124" s="1" t="s">
        <v>60</v>
      </c>
      <c r="K124" s="3"/>
      <c r="L124" s="1" t="s">
        <v>32</v>
      </c>
      <c r="M124" s="1" t="s">
        <v>33</v>
      </c>
      <c r="N124" s="1">
        <v>140000.0</v>
      </c>
      <c r="O124" s="1" t="s">
        <v>199</v>
      </c>
      <c r="P124" s="1" t="s">
        <v>53</v>
      </c>
      <c r="Q124" s="1" t="s">
        <v>54</v>
      </c>
      <c r="R124" s="1" t="s">
        <v>35</v>
      </c>
      <c r="S124" s="4" t="s">
        <v>37</v>
      </c>
      <c r="T124" s="1" t="s">
        <v>542</v>
      </c>
      <c r="U124" s="5">
        <f t="shared" si="67"/>
        <v>0.2</v>
      </c>
      <c r="V124" s="5">
        <f t="shared" si="68"/>
        <v>6</v>
      </c>
      <c r="W124" s="6">
        <f t="shared" si="69"/>
        <v>433260</v>
      </c>
      <c r="X124" s="6" t="str">
        <f t="shared" ref="X124:X126" si="71">IF(W124&lt;100000,"abaixo de R$100.000",IF(AND(W124&gt;=100000,W124&lt;200000),"R$100.000 - R$200.000",IF(AND(W124&gt;=200000,W124&lt;300000),"R$200.000 - R$300.000",IF(AND(W124&gt;=300000,W124&lt;400000),"R$300.000 - R$400.000",IF(AND(W124&gt;=400000,W124&lt;500000),"R$400.000 - R$500.000",IF(AND(W124&gt;=500000,W124&lt;600000),"R$500.000 - R$600.000",IF(AND(W124&gt;=600000,W124&lt;700000),"R$600.000 - R$700.000",IF(AND(W124&gt;=700000,W124&lt;800000),"R$700.000 - R$800.000",IF(AND(W124&gt;=800000,W124&lt;900000),"R$800.000 - R$900.000","Superior a R$900.000")))))))))</f>
        <v>R$400.000 - R$500.000</v>
      </c>
      <c r="Y124" s="6">
        <f t="shared" si="70"/>
        <v>519912</v>
      </c>
      <c r="Z124" s="3" t="str">
        <f t="shared" ref="Z124:Z126" si="72">IF(Y124&lt;100000,"abaixo de R$100.000",IF(AND(Y124&gt;=100000,Y124&lt;200000),"R$100.000 - R$200.000",IF(AND(Y124&gt;=200000,Y124&lt;300000),"R$200.000 - R$300.000",IF(AND(Y124&gt;=300000,Y124&lt;400000),"R$300.000 - R$400.000",IF(AND(Y124&gt;=400000,Y124&lt;500000),"R$400.000 - R$500.000",IF(AND(Y124&gt;=500000,Y124&lt;600000),"R$500.000 - R$600.000",IF(AND(Y124&gt;=600000,Y124&lt;700000),"R$600.000 - R$700.000",IF(AND(Y124&gt;=700000,Y124&lt;800000),"R$700.000 - R$800.000",IF(AND(Y124&gt;=800000,Y124&lt;900000),"R$800.000 - R$900.000","Superior a R$900.000")))))))))</f>
        <v>R$500.000 - R$600.000</v>
      </c>
    </row>
    <row r="125">
      <c r="A125" s="1">
        <v>103620.0</v>
      </c>
      <c r="B125" s="1" t="s">
        <v>543</v>
      </c>
      <c r="C125" s="1" t="s">
        <v>544</v>
      </c>
      <c r="D125" s="1" t="s">
        <v>28</v>
      </c>
      <c r="E125" s="2">
        <v>30000.0</v>
      </c>
      <c r="F125" s="2">
        <v>40000.0</v>
      </c>
      <c r="G125" s="1" t="s">
        <v>29</v>
      </c>
      <c r="H125" s="1" t="s">
        <v>540</v>
      </c>
      <c r="I125" s="1" t="s">
        <v>439</v>
      </c>
      <c r="J125" s="1" t="s">
        <v>60</v>
      </c>
      <c r="K125" s="3"/>
      <c r="L125" s="1" t="s">
        <v>51</v>
      </c>
      <c r="M125" s="1" t="s">
        <v>52</v>
      </c>
      <c r="N125" s="1">
        <v>90000.0</v>
      </c>
      <c r="O125" s="1" t="s">
        <v>44</v>
      </c>
      <c r="P125" s="1" t="s">
        <v>35</v>
      </c>
      <c r="Q125" s="1" t="s">
        <v>36</v>
      </c>
      <c r="R125" s="1" t="s">
        <v>35</v>
      </c>
      <c r="S125" s="4" t="s">
        <v>37</v>
      </c>
      <c r="T125" s="1" t="s">
        <v>545</v>
      </c>
      <c r="U125" s="5">
        <f t="shared" si="67"/>
        <v>0.3333333333</v>
      </c>
      <c r="V125" s="5">
        <f t="shared" si="68"/>
        <v>3</v>
      </c>
      <c r="W125" s="6">
        <f t="shared" si="69"/>
        <v>489900</v>
      </c>
      <c r="X125" s="6" t="str">
        <f t="shared" si="71"/>
        <v>R$400.000 - R$500.000</v>
      </c>
      <c r="Y125" s="6">
        <f t="shared" si="70"/>
        <v>653200</v>
      </c>
      <c r="Z125" s="3" t="str">
        <f t="shared" si="72"/>
        <v>R$600.000 - R$700.000</v>
      </c>
    </row>
    <row r="126">
      <c r="A126" s="1">
        <v>215822.0</v>
      </c>
      <c r="B126" s="1" t="s">
        <v>546</v>
      </c>
      <c r="C126" s="1" t="s">
        <v>547</v>
      </c>
      <c r="D126" s="1" t="s">
        <v>28</v>
      </c>
      <c r="E126" s="2">
        <v>50000.0</v>
      </c>
      <c r="F126" s="2">
        <v>70000.0</v>
      </c>
      <c r="G126" s="1" t="s">
        <v>29</v>
      </c>
      <c r="H126" s="1" t="s">
        <v>540</v>
      </c>
      <c r="I126" s="1" t="s">
        <v>42</v>
      </c>
      <c r="J126" s="1" t="s">
        <v>31</v>
      </c>
      <c r="K126" s="3"/>
      <c r="L126" s="1" t="s">
        <v>32</v>
      </c>
      <c r="M126" s="1" t="s">
        <v>52</v>
      </c>
      <c r="N126" s="1">
        <v>200000.0</v>
      </c>
      <c r="O126" s="1" t="s">
        <v>34</v>
      </c>
      <c r="P126" s="1" t="s">
        <v>35</v>
      </c>
      <c r="Q126" s="1" t="s">
        <v>172</v>
      </c>
      <c r="R126" s="1" t="s">
        <v>35</v>
      </c>
      <c r="S126" s="4" t="s">
        <v>37</v>
      </c>
      <c r="T126" s="1" t="s">
        <v>141</v>
      </c>
      <c r="U126" s="5">
        <f t="shared" si="67"/>
        <v>0.4</v>
      </c>
      <c r="V126" s="5">
        <f t="shared" si="68"/>
        <v>4</v>
      </c>
      <c r="W126" s="6">
        <f t="shared" si="69"/>
        <v>866500</v>
      </c>
      <c r="X126" s="6" t="str">
        <f t="shared" si="71"/>
        <v>R$800.000 - R$900.000</v>
      </c>
      <c r="Y126" s="6">
        <f t="shared" si="70"/>
        <v>1213100</v>
      </c>
      <c r="Z126" s="3" t="str">
        <f t="shared" si="72"/>
        <v>Superior a R$900.000</v>
      </c>
    </row>
    <row r="127">
      <c r="A127" s="1">
        <v>116952.0</v>
      </c>
      <c r="B127" s="1" t="s">
        <v>548</v>
      </c>
      <c r="C127" s="1" t="s">
        <v>549</v>
      </c>
      <c r="D127" s="1" t="s">
        <v>28</v>
      </c>
      <c r="E127" s="2">
        <v>14000.0</v>
      </c>
      <c r="F127" s="2">
        <v>20000.0</v>
      </c>
      <c r="G127" s="1" t="s">
        <v>29</v>
      </c>
      <c r="H127" s="1" t="s">
        <v>550</v>
      </c>
      <c r="I127" s="1" t="s">
        <v>31</v>
      </c>
      <c r="J127" s="1" t="s">
        <v>31</v>
      </c>
      <c r="K127" s="3"/>
      <c r="L127" s="1" t="s">
        <v>32</v>
      </c>
      <c r="M127" s="1" t="s">
        <v>69</v>
      </c>
      <c r="N127" s="1">
        <v>4000.0</v>
      </c>
      <c r="O127" s="1" t="s">
        <v>104</v>
      </c>
      <c r="P127" s="1" t="s">
        <v>35</v>
      </c>
      <c r="Q127" s="1" t="s">
        <v>36</v>
      </c>
      <c r="R127" s="1" t="s">
        <v>35</v>
      </c>
      <c r="S127" s="4" t="s">
        <v>63</v>
      </c>
      <c r="T127" s="1" t="s">
        <v>256</v>
      </c>
      <c r="U127" s="5">
        <f t="shared" si="67"/>
        <v>0.4285714286</v>
      </c>
      <c r="V127" s="5">
        <f t="shared" si="68"/>
        <v>0</v>
      </c>
      <c r="W127" s="6">
        <f t="shared" si="69"/>
        <v>190620</v>
      </c>
      <c r="X127" s="4" t="s">
        <v>150</v>
      </c>
      <c r="Y127" s="6">
        <f t="shared" si="70"/>
        <v>272314.2857</v>
      </c>
      <c r="Z127" s="4" t="s">
        <v>150</v>
      </c>
    </row>
    <row r="128">
      <c r="A128" s="1">
        <v>222485.0</v>
      </c>
      <c r="B128" s="1" t="s">
        <v>551</v>
      </c>
      <c r="C128" s="1" t="s">
        <v>552</v>
      </c>
      <c r="D128" s="1" t="s">
        <v>28</v>
      </c>
      <c r="E128" s="2">
        <v>20000.0</v>
      </c>
      <c r="F128" s="2">
        <v>20000.0</v>
      </c>
      <c r="G128" s="1" t="s">
        <v>29</v>
      </c>
      <c r="H128" s="1" t="s">
        <v>540</v>
      </c>
      <c r="I128" s="1" t="s">
        <v>31</v>
      </c>
      <c r="J128" s="1" t="s">
        <v>31</v>
      </c>
      <c r="K128" s="3"/>
      <c r="L128" s="1" t="s">
        <v>32</v>
      </c>
      <c r="M128" s="1" t="s">
        <v>33</v>
      </c>
      <c r="N128" s="1">
        <v>18000.0</v>
      </c>
      <c r="O128" s="1" t="s">
        <v>78</v>
      </c>
      <c r="P128" s="1" t="s">
        <v>35</v>
      </c>
      <c r="Q128" s="1" t="s">
        <v>36</v>
      </c>
      <c r="R128" s="1" t="s">
        <v>35</v>
      </c>
      <c r="S128" s="4" t="s">
        <v>37</v>
      </c>
      <c r="T128" s="1" t="s">
        <v>153</v>
      </c>
      <c r="U128" s="5">
        <f t="shared" si="67"/>
        <v>0</v>
      </c>
      <c r="V128" s="5">
        <f t="shared" si="68"/>
        <v>0</v>
      </c>
      <c r="W128" s="6">
        <f t="shared" si="69"/>
        <v>284600</v>
      </c>
      <c r="X128" s="4" t="s">
        <v>150</v>
      </c>
      <c r="Y128" s="6">
        <f t="shared" si="70"/>
        <v>284600</v>
      </c>
      <c r="Z128" s="4" t="s">
        <v>150</v>
      </c>
    </row>
    <row r="129">
      <c r="A129" s="1">
        <v>222911.0</v>
      </c>
      <c r="B129" s="1" t="s">
        <v>553</v>
      </c>
      <c r="C129" s="1" t="s">
        <v>554</v>
      </c>
      <c r="D129" s="1" t="s">
        <v>28</v>
      </c>
      <c r="E129" s="1">
        <v>0.0</v>
      </c>
      <c r="F129" s="1">
        <v>0.0</v>
      </c>
      <c r="G129" s="1" t="s">
        <v>29</v>
      </c>
      <c r="H129" s="1" t="s">
        <v>555</v>
      </c>
      <c r="I129" s="1" t="s">
        <v>99</v>
      </c>
      <c r="J129" s="1" t="s">
        <v>31</v>
      </c>
      <c r="K129" s="3"/>
      <c r="L129" s="1" t="s">
        <v>32</v>
      </c>
      <c r="M129" s="1" t="s">
        <v>33</v>
      </c>
      <c r="N129" s="6"/>
      <c r="O129" s="1" t="s">
        <v>34</v>
      </c>
      <c r="P129" s="1" t="s">
        <v>53</v>
      </c>
      <c r="Q129" s="1" t="s">
        <v>172</v>
      </c>
      <c r="R129" s="1" t="s">
        <v>35</v>
      </c>
      <c r="S129" s="4" t="s">
        <v>37</v>
      </c>
      <c r="T129" s="1" t="s">
        <v>556</v>
      </c>
      <c r="U129" s="5"/>
      <c r="V129" s="5"/>
      <c r="W129" s="6"/>
      <c r="X129" s="4" t="s">
        <v>150</v>
      </c>
      <c r="Y129" s="6"/>
      <c r="Z129" s="4" t="s">
        <v>150</v>
      </c>
    </row>
    <row r="130">
      <c r="A130" s="1">
        <v>222452.0</v>
      </c>
      <c r="B130" s="1" t="s">
        <v>557</v>
      </c>
      <c r="C130" s="1" t="s">
        <v>558</v>
      </c>
      <c r="D130" s="1" t="s">
        <v>28</v>
      </c>
      <c r="E130" s="1">
        <v>0.0</v>
      </c>
      <c r="F130" s="1">
        <v>0.0</v>
      </c>
      <c r="G130" s="1" t="s">
        <v>75</v>
      </c>
      <c r="H130" s="1" t="s">
        <v>559</v>
      </c>
      <c r="I130" s="1" t="s">
        <v>560</v>
      </c>
      <c r="J130" s="1" t="s">
        <v>77</v>
      </c>
      <c r="K130" s="3"/>
      <c r="L130" s="1" t="s">
        <v>51</v>
      </c>
      <c r="M130" s="1" t="s">
        <v>33</v>
      </c>
      <c r="N130" s="3"/>
      <c r="O130" s="1" t="s">
        <v>78</v>
      </c>
      <c r="P130" s="1" t="s">
        <v>53</v>
      </c>
      <c r="Q130" s="1" t="s">
        <v>54</v>
      </c>
      <c r="R130" s="1" t="s">
        <v>35</v>
      </c>
      <c r="S130" s="4" t="s">
        <v>37</v>
      </c>
      <c r="T130" s="1" t="s">
        <v>561</v>
      </c>
      <c r="U130" s="5"/>
      <c r="V130" s="5"/>
      <c r="W130" s="6"/>
      <c r="X130" s="4" t="s">
        <v>150</v>
      </c>
      <c r="Y130" s="6"/>
      <c r="Z130" s="4" t="s">
        <v>297</v>
      </c>
    </row>
    <row r="131">
      <c r="A131" s="1">
        <v>222335.0</v>
      </c>
      <c r="B131" s="1" t="s">
        <v>562</v>
      </c>
      <c r="C131" s="1" t="s">
        <v>563</v>
      </c>
      <c r="D131" s="1" t="s">
        <v>28</v>
      </c>
      <c r="E131" s="1">
        <v>0.0</v>
      </c>
      <c r="F131" s="1">
        <v>0.0</v>
      </c>
      <c r="G131" s="1" t="s">
        <v>29</v>
      </c>
      <c r="H131" s="1" t="s">
        <v>564</v>
      </c>
      <c r="I131" s="1" t="s">
        <v>565</v>
      </c>
      <c r="J131" s="1" t="s">
        <v>77</v>
      </c>
      <c r="K131" s="3"/>
      <c r="L131" s="1" t="s">
        <v>32</v>
      </c>
      <c r="M131" s="1" t="s">
        <v>52</v>
      </c>
      <c r="N131" s="3"/>
      <c r="O131" s="1" t="s">
        <v>94</v>
      </c>
      <c r="P131" s="1" t="s">
        <v>53</v>
      </c>
      <c r="Q131" s="1" t="s">
        <v>54</v>
      </c>
      <c r="R131" s="1" t="s">
        <v>53</v>
      </c>
      <c r="S131" s="4" t="s">
        <v>37</v>
      </c>
      <c r="T131" s="1" t="s">
        <v>566</v>
      </c>
      <c r="U131" s="5"/>
      <c r="V131" s="5"/>
      <c r="W131" s="6"/>
      <c r="X131" s="4" t="s">
        <v>150</v>
      </c>
      <c r="Y131" s="6"/>
      <c r="Z131" s="4" t="s">
        <v>297</v>
      </c>
    </row>
    <row r="132">
      <c r="A132" s="1">
        <v>102270.0</v>
      </c>
      <c r="B132" s="1" t="s">
        <v>567</v>
      </c>
      <c r="C132" s="1" t="s">
        <v>568</v>
      </c>
      <c r="D132" s="1" t="s">
        <v>132</v>
      </c>
      <c r="E132" s="2">
        <v>35000.0</v>
      </c>
      <c r="F132" s="2">
        <v>40000.0</v>
      </c>
      <c r="G132" s="1" t="s">
        <v>29</v>
      </c>
      <c r="H132" s="1" t="s">
        <v>569</v>
      </c>
      <c r="I132" s="1" t="s">
        <v>99</v>
      </c>
      <c r="J132" s="1" t="s">
        <v>31</v>
      </c>
      <c r="K132" s="1" t="s">
        <v>68</v>
      </c>
      <c r="L132" s="1" t="s">
        <v>32</v>
      </c>
      <c r="M132" s="1" t="s">
        <v>33</v>
      </c>
      <c r="N132" s="1">
        <v>180000.0</v>
      </c>
      <c r="O132" s="1" t="s">
        <v>34</v>
      </c>
      <c r="P132" s="1" t="s">
        <v>35</v>
      </c>
      <c r="Q132" s="1" t="s">
        <v>36</v>
      </c>
      <c r="R132" s="1" t="s">
        <v>35</v>
      </c>
      <c r="S132" s="3"/>
      <c r="T132" s="1" t="s">
        <v>570</v>
      </c>
      <c r="U132" s="5">
        <f>(F132/E132)-1</f>
        <v>0.1428571429</v>
      </c>
      <c r="V132" s="5">
        <f>ROUNDDOWN(N132/E132,0)</f>
        <v>5</v>
      </c>
      <c r="W132" s="6">
        <f>13.33*E132+N132</f>
        <v>646550</v>
      </c>
      <c r="X132" s="6" t="str">
        <f>IF(W132&lt;100000,"abaixo de R$100.000",IF(AND(W132&gt;=100000,W132&lt;200000),"R$100.000 - R$200.000",IF(AND(W132&gt;=200000,W132&lt;300000),"R$200.000 - R$300.000",IF(AND(W132&gt;=300000,W132&lt;400000),"R$300.000 - R$400.000",IF(AND(W132&gt;=400000,W132&lt;500000),"R$400.000 - R$500.000",IF(AND(W132&gt;=500000,W132&lt;600000),"R$500.000 - R$600.000",IF(AND(W132&gt;=600000,W132&lt;700000),"R$600.000 - R$700.000",IF(AND(W132&gt;=700000,W132&lt;800000),"R$700.000 - R$800.000",IF(AND(W132&gt;=800000,W132&lt;900000),"R$800.000 - R$900.000","Superior a R$900.000")))))))))</f>
        <v>R$600.000 - R$700.000</v>
      </c>
      <c r="Y132" s="6">
        <f>W132+(W132*U132)</f>
        <v>738914.2857</v>
      </c>
      <c r="Z132" s="3" t="str">
        <f>IF(Y132&lt;100000,"abaixo de R$100.000",IF(AND(Y132&gt;=100000,Y132&lt;200000),"R$100.000 - R$200.000",IF(AND(Y132&gt;=200000,Y132&lt;300000),"R$200.000 - R$300.000",IF(AND(Y132&gt;=300000,Y132&lt;400000),"R$300.000 - R$400.000",IF(AND(Y132&gt;=400000,Y132&lt;500000),"R$400.000 - R$500.000",IF(AND(Y132&gt;=500000,Y132&lt;600000),"R$500.000 - R$600.000",IF(AND(Y132&gt;=600000,Y132&lt;700000),"R$600.000 - R$700.000",IF(AND(Y132&gt;=700000,Y132&lt;800000),"R$700.000 - R$800.000",IF(AND(Y132&gt;=800000,Y132&lt;900000),"R$800.000 - R$900.000","Superior a R$900.000")))))))))</f>
        <v>R$700.000 - R$800.000</v>
      </c>
    </row>
    <row r="133">
      <c r="A133" s="1">
        <v>222853.0</v>
      </c>
      <c r="B133" s="1" t="s">
        <v>571</v>
      </c>
      <c r="C133" s="1" t="s">
        <v>572</v>
      </c>
      <c r="D133" s="1" t="s">
        <v>28</v>
      </c>
      <c r="E133" s="1">
        <v>0.0</v>
      </c>
      <c r="F133" s="1">
        <v>0.0</v>
      </c>
      <c r="G133" s="1" t="s">
        <v>29</v>
      </c>
      <c r="H133" s="1" t="s">
        <v>573</v>
      </c>
      <c r="I133" s="1" t="s">
        <v>574</v>
      </c>
      <c r="J133" s="1" t="s">
        <v>31</v>
      </c>
      <c r="K133" s="3"/>
      <c r="L133" s="1" t="s">
        <v>32</v>
      </c>
      <c r="M133" s="1" t="s">
        <v>33</v>
      </c>
      <c r="N133" s="6"/>
      <c r="O133" s="1" t="s">
        <v>199</v>
      </c>
      <c r="P133" s="1" t="s">
        <v>53</v>
      </c>
      <c r="Q133" s="1" t="s">
        <v>36</v>
      </c>
      <c r="R133" s="1" t="s">
        <v>35</v>
      </c>
      <c r="S133" s="4" t="s">
        <v>37</v>
      </c>
      <c r="T133" s="1" t="s">
        <v>575</v>
      </c>
      <c r="U133" s="5"/>
      <c r="V133" s="5"/>
      <c r="W133" s="6"/>
      <c r="X133" s="4" t="s">
        <v>150</v>
      </c>
      <c r="Y133" s="6"/>
      <c r="Z133" s="4" t="s">
        <v>297</v>
      </c>
    </row>
    <row r="134">
      <c r="A134" s="1">
        <v>222665.0</v>
      </c>
      <c r="B134" s="1" t="s">
        <v>576</v>
      </c>
      <c r="C134" s="1" t="s">
        <v>577</v>
      </c>
      <c r="D134" s="1" t="s">
        <v>28</v>
      </c>
      <c r="E134" s="1">
        <v>0.0</v>
      </c>
      <c r="F134" s="1">
        <v>0.0</v>
      </c>
      <c r="G134" s="1" t="s">
        <v>29</v>
      </c>
      <c r="H134" s="1" t="s">
        <v>573</v>
      </c>
      <c r="I134" s="1" t="s">
        <v>578</v>
      </c>
      <c r="J134" s="1" t="s">
        <v>31</v>
      </c>
      <c r="K134" s="3"/>
      <c r="L134" s="1" t="s">
        <v>51</v>
      </c>
      <c r="M134" s="1" t="s">
        <v>52</v>
      </c>
      <c r="N134" s="6"/>
      <c r="O134" s="1" t="s">
        <v>199</v>
      </c>
      <c r="P134" s="1" t="s">
        <v>53</v>
      </c>
      <c r="Q134" s="1" t="s">
        <v>36</v>
      </c>
      <c r="R134" s="1" t="s">
        <v>35</v>
      </c>
      <c r="S134" s="4" t="s">
        <v>37</v>
      </c>
      <c r="T134" s="1" t="s">
        <v>579</v>
      </c>
      <c r="U134" s="5"/>
      <c r="V134" s="5"/>
      <c r="W134" s="6"/>
      <c r="X134" s="4" t="s">
        <v>150</v>
      </c>
      <c r="Y134" s="6"/>
      <c r="Z134" s="4" t="s">
        <v>297</v>
      </c>
    </row>
    <row r="135">
      <c r="A135" s="1">
        <v>221931.0</v>
      </c>
      <c r="B135" s="1" t="s">
        <v>580</v>
      </c>
      <c r="C135" s="1" t="s">
        <v>581</v>
      </c>
      <c r="D135" s="1" t="s">
        <v>28</v>
      </c>
      <c r="E135" s="1">
        <v>0.0</v>
      </c>
      <c r="F135" s="1">
        <v>0.0</v>
      </c>
      <c r="G135" s="1" t="s">
        <v>29</v>
      </c>
      <c r="H135" s="1" t="s">
        <v>573</v>
      </c>
      <c r="I135" s="1" t="s">
        <v>582</v>
      </c>
      <c r="J135" s="1" t="s">
        <v>31</v>
      </c>
      <c r="K135" s="3"/>
      <c r="L135" s="1" t="s">
        <v>61</v>
      </c>
      <c r="M135" s="1" t="s">
        <v>33</v>
      </c>
      <c r="N135" s="3"/>
      <c r="O135" s="1" t="s">
        <v>62</v>
      </c>
      <c r="P135" s="1" t="s">
        <v>35</v>
      </c>
      <c r="Q135" s="1" t="s">
        <v>36</v>
      </c>
      <c r="R135" s="1" t="s">
        <v>35</v>
      </c>
      <c r="S135" s="4" t="s">
        <v>37</v>
      </c>
      <c r="T135" s="1" t="s">
        <v>583</v>
      </c>
      <c r="U135" s="5"/>
      <c r="V135" s="5"/>
      <c r="W135" s="6"/>
      <c r="X135" s="4" t="s">
        <v>150</v>
      </c>
      <c r="Y135" s="6"/>
      <c r="Z135" s="4" t="s">
        <v>297</v>
      </c>
    </row>
    <row r="136">
      <c r="A136" s="1">
        <v>111323.0</v>
      </c>
      <c r="B136" s="1" t="s">
        <v>584</v>
      </c>
      <c r="C136" s="1" t="s">
        <v>585</v>
      </c>
      <c r="D136" s="1" t="s">
        <v>28</v>
      </c>
      <c r="E136" s="2">
        <v>15000.0</v>
      </c>
      <c r="F136" s="2">
        <v>18000.0</v>
      </c>
      <c r="G136" s="1" t="s">
        <v>29</v>
      </c>
      <c r="H136" s="1" t="s">
        <v>573</v>
      </c>
      <c r="I136" s="1" t="s">
        <v>586</v>
      </c>
      <c r="J136" s="1" t="s">
        <v>77</v>
      </c>
      <c r="K136" s="3"/>
      <c r="L136" s="1" t="s">
        <v>51</v>
      </c>
      <c r="M136" s="1" t="s">
        <v>33</v>
      </c>
      <c r="N136" s="1">
        <v>100000.0</v>
      </c>
      <c r="O136" s="1" t="s">
        <v>104</v>
      </c>
      <c r="P136" s="1" t="s">
        <v>35</v>
      </c>
      <c r="Q136" s="1" t="s">
        <v>54</v>
      </c>
      <c r="R136" s="1" t="s">
        <v>35</v>
      </c>
      <c r="S136" s="4" t="s">
        <v>63</v>
      </c>
      <c r="T136" s="1" t="s">
        <v>587</v>
      </c>
      <c r="U136" s="5">
        <f t="shared" ref="U136:U138" si="73">(F136/E136)-1</f>
        <v>0.2</v>
      </c>
      <c r="V136" s="5">
        <f t="shared" ref="V136:V138" si="74">ROUNDDOWN(N136/E136,0)</f>
        <v>6</v>
      </c>
      <c r="W136" s="6">
        <f t="shared" ref="W136:W138" si="75">13.33*E136+N136</f>
        <v>299950</v>
      </c>
      <c r="X136" s="4" t="s">
        <v>150</v>
      </c>
      <c r="Y136" s="6">
        <f t="shared" ref="Y136:Y138" si="76">W136+(W136*U136)</f>
        <v>359940</v>
      </c>
      <c r="Z136" s="4" t="s">
        <v>297</v>
      </c>
    </row>
    <row r="137">
      <c r="A137" s="1">
        <v>136685.0</v>
      </c>
      <c r="B137" s="1" t="s">
        <v>588</v>
      </c>
      <c r="C137" s="1" t="s">
        <v>589</v>
      </c>
      <c r="D137" s="1" t="s">
        <v>28</v>
      </c>
      <c r="E137" s="2">
        <v>30000.0</v>
      </c>
      <c r="F137" s="2">
        <v>30000.0</v>
      </c>
      <c r="G137" s="1" t="s">
        <v>29</v>
      </c>
      <c r="H137" s="1" t="s">
        <v>573</v>
      </c>
      <c r="I137" s="1" t="s">
        <v>590</v>
      </c>
      <c r="J137" s="1" t="s">
        <v>50</v>
      </c>
      <c r="K137" s="3"/>
      <c r="L137" s="1" t="s">
        <v>61</v>
      </c>
      <c r="M137" s="1" t="s">
        <v>33</v>
      </c>
      <c r="N137" s="1">
        <v>0.0</v>
      </c>
      <c r="O137" s="1" t="s">
        <v>78</v>
      </c>
      <c r="P137" s="1" t="s">
        <v>53</v>
      </c>
      <c r="Q137" s="1" t="s">
        <v>54</v>
      </c>
      <c r="R137" s="1" t="s">
        <v>35</v>
      </c>
      <c r="S137" s="4" t="s">
        <v>37</v>
      </c>
      <c r="T137" s="1" t="s">
        <v>591</v>
      </c>
      <c r="U137" s="5">
        <f t="shared" si="73"/>
        <v>0</v>
      </c>
      <c r="V137" s="5">
        <f t="shared" si="74"/>
        <v>0</v>
      </c>
      <c r="W137" s="6">
        <f t="shared" si="75"/>
        <v>399900</v>
      </c>
      <c r="X137" s="4" t="s">
        <v>150</v>
      </c>
      <c r="Y137" s="6">
        <f t="shared" si="76"/>
        <v>399900</v>
      </c>
      <c r="Z137" s="4" t="s">
        <v>297</v>
      </c>
    </row>
    <row r="138">
      <c r="A138" s="1">
        <v>222879.0</v>
      </c>
      <c r="B138" s="1" t="s">
        <v>592</v>
      </c>
      <c r="C138" s="1">
        <v>20000.0</v>
      </c>
      <c r="D138" s="1" t="s">
        <v>28</v>
      </c>
      <c r="E138" s="2">
        <v>20000.0</v>
      </c>
      <c r="F138" s="2">
        <v>24000.0</v>
      </c>
      <c r="G138" s="1" t="s">
        <v>29</v>
      </c>
      <c r="H138" s="1" t="s">
        <v>593</v>
      </c>
      <c r="I138" s="1" t="s">
        <v>594</v>
      </c>
      <c r="J138" s="1" t="s">
        <v>77</v>
      </c>
      <c r="K138" s="3"/>
      <c r="L138" s="1" t="s">
        <v>51</v>
      </c>
      <c r="M138" s="1" t="s">
        <v>69</v>
      </c>
      <c r="N138" s="1">
        <v>5000.0</v>
      </c>
      <c r="O138" s="1" t="s">
        <v>44</v>
      </c>
      <c r="P138" s="1" t="s">
        <v>35</v>
      </c>
      <c r="Q138" s="1" t="s">
        <v>36</v>
      </c>
      <c r="R138" s="1" t="s">
        <v>35</v>
      </c>
      <c r="S138" s="4" t="s">
        <v>37</v>
      </c>
      <c r="T138" s="1" t="s">
        <v>306</v>
      </c>
      <c r="U138" s="5">
        <f t="shared" si="73"/>
        <v>0.2</v>
      </c>
      <c r="V138" s="5">
        <f t="shared" si="74"/>
        <v>0</v>
      </c>
      <c r="W138" s="6">
        <f t="shared" si="75"/>
        <v>271600</v>
      </c>
      <c r="X138" s="4" t="s">
        <v>297</v>
      </c>
      <c r="Y138" s="6">
        <f t="shared" si="76"/>
        <v>325920</v>
      </c>
      <c r="Z138" s="4" t="s">
        <v>297</v>
      </c>
    </row>
    <row r="139">
      <c r="A139" s="1">
        <v>128734.0</v>
      </c>
      <c r="B139" s="1" t="s">
        <v>595</v>
      </c>
      <c r="C139" s="1" t="s">
        <v>596</v>
      </c>
      <c r="D139" s="1" t="s">
        <v>28</v>
      </c>
      <c r="E139" s="1">
        <v>0.0</v>
      </c>
      <c r="F139" s="1">
        <v>0.0</v>
      </c>
      <c r="G139" s="1" t="s">
        <v>29</v>
      </c>
      <c r="H139" s="1" t="s">
        <v>597</v>
      </c>
      <c r="I139" s="1" t="s">
        <v>598</v>
      </c>
      <c r="J139" s="1" t="s">
        <v>77</v>
      </c>
      <c r="K139" s="1" t="s">
        <v>68</v>
      </c>
      <c r="L139" s="1" t="s">
        <v>51</v>
      </c>
      <c r="M139" s="1" t="s">
        <v>33</v>
      </c>
      <c r="N139" s="3"/>
      <c r="O139" s="1" t="s">
        <v>199</v>
      </c>
      <c r="P139" s="1" t="s">
        <v>35</v>
      </c>
      <c r="Q139" s="1" t="s">
        <v>36</v>
      </c>
      <c r="R139" s="1" t="s">
        <v>35</v>
      </c>
      <c r="S139" s="4" t="s">
        <v>37</v>
      </c>
      <c r="T139" s="1" t="s">
        <v>404</v>
      </c>
      <c r="U139" s="5"/>
      <c r="V139" s="5"/>
      <c r="W139" s="6"/>
      <c r="X139" s="4" t="s">
        <v>297</v>
      </c>
      <c r="Y139" s="6"/>
      <c r="Z139" s="4" t="s">
        <v>297</v>
      </c>
    </row>
    <row r="140">
      <c r="A140" s="1">
        <v>207978.0</v>
      </c>
      <c r="B140" s="1" t="s">
        <v>599</v>
      </c>
      <c r="C140" s="1" t="s">
        <v>600</v>
      </c>
      <c r="D140" s="1" t="s">
        <v>28</v>
      </c>
      <c r="E140" s="2">
        <v>25000.0</v>
      </c>
      <c r="F140" s="2">
        <v>25000.0</v>
      </c>
      <c r="G140" s="1" t="s">
        <v>29</v>
      </c>
      <c r="H140" s="1" t="s">
        <v>601</v>
      </c>
      <c r="I140" s="1" t="s">
        <v>31</v>
      </c>
      <c r="J140" s="1" t="s">
        <v>31</v>
      </c>
      <c r="K140" s="3"/>
      <c r="L140" s="1" t="s">
        <v>61</v>
      </c>
      <c r="M140" s="1" t="s">
        <v>33</v>
      </c>
      <c r="N140" s="1">
        <v>10000.0</v>
      </c>
      <c r="O140" s="1" t="s">
        <v>94</v>
      </c>
      <c r="P140" s="1" t="s">
        <v>35</v>
      </c>
      <c r="Q140" s="1" t="s">
        <v>54</v>
      </c>
      <c r="R140" s="1" t="s">
        <v>35</v>
      </c>
      <c r="S140" s="4" t="s">
        <v>63</v>
      </c>
      <c r="T140" s="1" t="s">
        <v>602</v>
      </c>
      <c r="U140" s="5">
        <f t="shared" ref="U140:U143" si="77">(F140/E140)-1</f>
        <v>0</v>
      </c>
      <c r="V140" s="5">
        <f t="shared" ref="V140:V143" si="78">ROUNDDOWN(N140/E140,0)</f>
        <v>0</v>
      </c>
      <c r="W140" s="6">
        <f t="shared" ref="W140:W143" si="79">13.33*E140+N140</f>
        <v>343250</v>
      </c>
      <c r="X140" s="4" t="s">
        <v>297</v>
      </c>
      <c r="Y140" s="6">
        <f t="shared" ref="Y140:Y143" si="80">W140+(W140*U140)</f>
        <v>343250</v>
      </c>
      <c r="Z140" s="4" t="s">
        <v>297</v>
      </c>
    </row>
    <row r="141">
      <c r="A141" s="1">
        <v>222913.0</v>
      </c>
      <c r="B141" s="1" t="s">
        <v>603</v>
      </c>
      <c r="C141" s="1" t="s">
        <v>604</v>
      </c>
      <c r="D141" s="1" t="s">
        <v>28</v>
      </c>
      <c r="E141" s="2">
        <v>16000.0</v>
      </c>
      <c r="F141" s="2">
        <v>16000.0</v>
      </c>
      <c r="G141" s="1" t="s">
        <v>29</v>
      </c>
      <c r="H141" s="1" t="s">
        <v>605</v>
      </c>
      <c r="I141" s="1" t="s">
        <v>606</v>
      </c>
      <c r="J141" s="1" t="s">
        <v>60</v>
      </c>
      <c r="K141" s="3"/>
      <c r="L141" s="1" t="s">
        <v>32</v>
      </c>
      <c r="M141" s="1" t="s">
        <v>33</v>
      </c>
      <c r="N141" s="1">
        <v>192000.0</v>
      </c>
      <c r="O141" s="1" t="s">
        <v>78</v>
      </c>
      <c r="P141" s="1" t="s">
        <v>35</v>
      </c>
      <c r="Q141" s="1" t="s">
        <v>36</v>
      </c>
      <c r="R141" s="1" t="s">
        <v>35</v>
      </c>
      <c r="S141" s="4" t="s">
        <v>63</v>
      </c>
      <c r="T141" s="1" t="s">
        <v>607</v>
      </c>
      <c r="U141" s="5">
        <f t="shared" si="77"/>
        <v>0</v>
      </c>
      <c r="V141" s="5">
        <f t="shared" si="78"/>
        <v>12</v>
      </c>
      <c r="W141" s="6">
        <f t="shared" si="79"/>
        <v>405280</v>
      </c>
      <c r="X141" s="6" t="str">
        <f>IF(W141&lt;100000,"abaixo de R$100.000",IF(AND(W141&gt;=100000,W141&lt;200000),"R$100.000 - R$200.000",IF(AND(W141&gt;=200000,W141&lt;300000),"R$200.000 - R$300.000",IF(AND(W141&gt;=300000,W141&lt;400000),"R$300.000 - R$400.000",IF(AND(W141&gt;=400000,W141&lt;500000),"R$400.000 - R$500.000",IF(AND(W141&gt;=500000,W141&lt;600000),"R$500.000 - R$600.000",IF(AND(W141&gt;=600000,W141&lt;700000),"R$600.000 - R$700.000",IF(AND(W141&gt;=700000,W141&lt;800000),"R$700.000 - R$800.000",IF(AND(W141&gt;=800000,W141&lt;900000),"R$800.000 - R$900.000","Superior a R$900.000")))))))))</f>
        <v>R$400.000 - R$500.000</v>
      </c>
      <c r="Y141" s="6">
        <f t="shared" si="80"/>
        <v>405280</v>
      </c>
      <c r="Z141" s="3" t="str">
        <f>IF(Y141&lt;100000,"abaixo de R$100.000",IF(AND(Y141&gt;=100000,Y141&lt;200000),"R$100.000 - R$200.000",IF(AND(Y141&gt;=200000,Y141&lt;300000),"R$200.000 - R$300.000",IF(AND(Y141&gt;=300000,Y141&lt;400000),"R$300.000 - R$400.000",IF(AND(Y141&gt;=400000,Y141&lt;500000),"R$400.000 - R$500.000",IF(AND(Y141&gt;=500000,Y141&lt;600000),"R$500.000 - R$600.000",IF(AND(Y141&gt;=600000,Y141&lt;700000),"R$600.000 - R$700.000",IF(AND(Y141&gt;=700000,Y141&lt;800000),"R$700.000 - R$800.000",IF(AND(Y141&gt;=800000,Y141&lt;900000),"R$800.000 - R$900.000","Superior a R$900.000")))))))))</f>
        <v>R$400.000 - R$500.000</v>
      </c>
    </row>
    <row r="142">
      <c r="A142" s="1">
        <v>222374.0</v>
      </c>
      <c r="B142" s="1" t="s">
        <v>608</v>
      </c>
      <c r="C142" s="1" t="s">
        <v>609</v>
      </c>
      <c r="D142" s="1" t="s">
        <v>28</v>
      </c>
      <c r="E142" s="2">
        <v>12000.0</v>
      </c>
      <c r="F142" s="2">
        <v>14400.0</v>
      </c>
      <c r="G142" s="1" t="s">
        <v>29</v>
      </c>
      <c r="H142" s="1" t="s">
        <v>610</v>
      </c>
      <c r="I142" s="1" t="s">
        <v>31</v>
      </c>
      <c r="J142" s="1" t="s">
        <v>31</v>
      </c>
      <c r="K142" s="3"/>
      <c r="L142" s="1" t="s">
        <v>61</v>
      </c>
      <c r="M142" s="1" t="s">
        <v>33</v>
      </c>
      <c r="N142" s="1">
        <v>0.0</v>
      </c>
      <c r="O142" s="1" t="s">
        <v>62</v>
      </c>
      <c r="P142" s="1" t="s">
        <v>53</v>
      </c>
      <c r="Q142" s="1" t="s">
        <v>36</v>
      </c>
      <c r="R142" s="1" t="s">
        <v>35</v>
      </c>
      <c r="S142" s="4" t="s">
        <v>63</v>
      </c>
      <c r="T142" s="1" t="s">
        <v>611</v>
      </c>
      <c r="U142" s="5">
        <f t="shared" si="77"/>
        <v>0.2</v>
      </c>
      <c r="V142" s="5">
        <f t="shared" si="78"/>
        <v>0</v>
      </c>
      <c r="W142" s="6">
        <f t="shared" si="79"/>
        <v>159960</v>
      </c>
      <c r="X142" s="4" t="s">
        <v>297</v>
      </c>
      <c r="Y142" s="6">
        <f t="shared" si="80"/>
        <v>191952</v>
      </c>
      <c r="Z142" s="4" t="s">
        <v>297</v>
      </c>
    </row>
    <row r="143">
      <c r="A143" s="1">
        <v>214975.0</v>
      </c>
      <c r="B143" s="1" t="s">
        <v>612</v>
      </c>
      <c r="C143" s="1" t="s">
        <v>613</v>
      </c>
      <c r="D143" s="1" t="s">
        <v>28</v>
      </c>
      <c r="E143" s="2">
        <v>35000.0</v>
      </c>
      <c r="F143" s="2">
        <v>50000.0</v>
      </c>
      <c r="G143" s="1" t="s">
        <v>29</v>
      </c>
      <c r="H143" s="1" t="s">
        <v>614</v>
      </c>
      <c r="I143" s="1" t="s">
        <v>31</v>
      </c>
      <c r="J143" s="1" t="s">
        <v>31</v>
      </c>
      <c r="K143" s="3"/>
      <c r="L143" s="1" t="s">
        <v>32</v>
      </c>
      <c r="M143" s="1" t="s">
        <v>33</v>
      </c>
      <c r="N143" s="1">
        <v>200000.0</v>
      </c>
      <c r="O143" s="1" t="s">
        <v>62</v>
      </c>
      <c r="P143" s="1" t="s">
        <v>35</v>
      </c>
      <c r="Q143" s="1" t="s">
        <v>36</v>
      </c>
      <c r="R143" s="1" t="s">
        <v>35</v>
      </c>
      <c r="S143" s="4" t="s">
        <v>63</v>
      </c>
      <c r="T143" s="1" t="s">
        <v>615</v>
      </c>
      <c r="U143" s="5">
        <f t="shared" si="77"/>
        <v>0.4285714286</v>
      </c>
      <c r="V143" s="5">
        <f t="shared" si="78"/>
        <v>5</v>
      </c>
      <c r="W143" s="6">
        <f t="shared" si="79"/>
        <v>666550</v>
      </c>
      <c r="X143" s="6" t="str">
        <f>IF(W143&lt;100000,"abaixo de R$100.000",IF(AND(W143&gt;=100000,W143&lt;200000),"R$100.000 - R$200.000",IF(AND(W143&gt;=200000,W143&lt;300000),"R$200.000 - R$300.000",IF(AND(W143&gt;=300000,W143&lt;400000),"R$300.000 - R$400.000",IF(AND(W143&gt;=400000,W143&lt;500000),"R$400.000 - R$500.000",IF(AND(W143&gt;=500000,W143&lt;600000),"R$500.000 - R$600.000",IF(AND(W143&gt;=600000,W143&lt;700000),"R$600.000 - R$700.000",IF(AND(W143&gt;=700000,W143&lt;800000),"R$700.000 - R$800.000",IF(AND(W143&gt;=800000,W143&lt;900000),"R$800.000 - R$900.000","Superior a R$900.000")))))))))</f>
        <v>R$600.000 - R$700.000</v>
      </c>
      <c r="Y143" s="6">
        <f t="shared" si="80"/>
        <v>952214.2857</v>
      </c>
      <c r="Z143" s="3" t="str">
        <f>IF(Y143&lt;100000,"abaixo de R$100.000",IF(AND(Y143&gt;=100000,Y143&lt;200000),"R$100.000 - R$200.000",IF(AND(Y143&gt;=200000,Y143&lt;300000),"R$200.000 - R$300.000",IF(AND(Y143&gt;=300000,Y143&lt;400000),"R$300.000 - R$400.000",IF(AND(Y143&gt;=400000,Y143&lt;500000),"R$400.000 - R$500.000",IF(AND(Y143&gt;=500000,Y143&lt;600000),"R$500.000 - R$600.000",IF(AND(Y143&gt;=600000,Y143&lt;700000),"R$600.000 - R$700.000",IF(AND(Y143&gt;=700000,Y143&lt;800000),"R$700.000 - R$800.000",IF(AND(Y143&gt;=800000,Y143&lt;900000),"R$800.000 - R$900.000","Superior a R$900.000")))))))))</f>
        <v>Superior a R$900.000</v>
      </c>
    </row>
    <row r="144">
      <c r="A144" s="1">
        <v>222742.0</v>
      </c>
      <c r="B144" s="1" t="s">
        <v>616</v>
      </c>
      <c r="C144" s="1" t="s">
        <v>617</v>
      </c>
      <c r="D144" s="1" t="s">
        <v>28</v>
      </c>
      <c r="E144" s="1">
        <v>0.0</v>
      </c>
      <c r="F144" s="1">
        <v>0.0</v>
      </c>
      <c r="G144" s="1" t="s">
        <v>29</v>
      </c>
      <c r="H144" s="1" t="s">
        <v>614</v>
      </c>
      <c r="I144" s="1" t="s">
        <v>60</v>
      </c>
      <c r="J144" s="1" t="s">
        <v>60</v>
      </c>
      <c r="K144" s="3"/>
      <c r="L144" s="1" t="s">
        <v>51</v>
      </c>
      <c r="M144" s="1" t="s">
        <v>33</v>
      </c>
      <c r="N144" s="8"/>
      <c r="O144" s="1" t="s">
        <v>218</v>
      </c>
      <c r="P144" s="1" t="s">
        <v>53</v>
      </c>
      <c r="Q144" s="1" t="s">
        <v>54</v>
      </c>
      <c r="R144" s="1" t="s">
        <v>35</v>
      </c>
      <c r="S144" s="4" t="s">
        <v>63</v>
      </c>
      <c r="T144" s="1" t="s">
        <v>618</v>
      </c>
      <c r="U144" s="5"/>
      <c r="V144" s="5"/>
      <c r="W144" s="6"/>
      <c r="X144" s="4" t="s">
        <v>297</v>
      </c>
      <c r="Y144" s="6"/>
      <c r="Z144" s="4" t="s">
        <v>297</v>
      </c>
    </row>
    <row r="145">
      <c r="A145" s="1">
        <v>222373.0</v>
      </c>
      <c r="B145" s="1" t="s">
        <v>619</v>
      </c>
      <c r="C145" s="1" t="s">
        <v>620</v>
      </c>
      <c r="D145" s="1" t="s">
        <v>28</v>
      </c>
      <c r="E145" s="2">
        <v>20000.0</v>
      </c>
      <c r="F145" s="2">
        <v>20000.0</v>
      </c>
      <c r="G145" s="1" t="s">
        <v>29</v>
      </c>
      <c r="H145" s="1" t="s">
        <v>614</v>
      </c>
      <c r="I145" s="1" t="s">
        <v>621</v>
      </c>
      <c r="J145" s="1" t="s">
        <v>50</v>
      </c>
      <c r="K145" s="3"/>
      <c r="L145" s="1" t="s">
        <v>32</v>
      </c>
      <c r="M145" s="1" t="s">
        <v>33</v>
      </c>
      <c r="N145" s="1">
        <v>12000.0</v>
      </c>
      <c r="O145" s="1" t="s">
        <v>78</v>
      </c>
      <c r="P145" s="1" t="s">
        <v>35</v>
      </c>
      <c r="Q145" s="1" t="s">
        <v>36</v>
      </c>
      <c r="R145" s="1" t="s">
        <v>35</v>
      </c>
      <c r="S145" s="4" t="s">
        <v>63</v>
      </c>
      <c r="T145" s="1" t="s">
        <v>223</v>
      </c>
      <c r="U145" s="5">
        <f t="shared" ref="U145:U146" si="81">(F145/E145)-1</f>
        <v>0</v>
      </c>
      <c r="V145" s="5">
        <f t="shared" ref="V145:V146" si="82">ROUNDDOWN(N145/E145,0)</f>
        <v>0</v>
      </c>
      <c r="W145" s="6">
        <f t="shared" ref="W145:W146" si="83">13.33*E145+N145</f>
        <v>278600</v>
      </c>
      <c r="X145" s="4" t="s">
        <v>297</v>
      </c>
      <c r="Y145" s="6">
        <f t="shared" ref="Y145:Y146" si="84">W145+(W145*U145)</f>
        <v>278600</v>
      </c>
      <c r="Z145" s="4" t="s">
        <v>297</v>
      </c>
    </row>
    <row r="146">
      <c r="A146" s="1">
        <v>222683.0</v>
      </c>
      <c r="B146" s="1" t="s">
        <v>622</v>
      </c>
      <c r="C146" s="1" t="s">
        <v>623</v>
      </c>
      <c r="D146" s="1" t="s">
        <v>28</v>
      </c>
      <c r="E146" s="2">
        <v>23000.0</v>
      </c>
      <c r="F146" s="2">
        <v>25000.0</v>
      </c>
      <c r="G146" s="1" t="s">
        <v>29</v>
      </c>
      <c r="H146" s="1" t="s">
        <v>614</v>
      </c>
      <c r="I146" s="1" t="s">
        <v>439</v>
      </c>
      <c r="J146" s="1" t="s">
        <v>60</v>
      </c>
      <c r="K146" s="3"/>
      <c r="L146" s="1" t="s">
        <v>32</v>
      </c>
      <c r="M146" s="1" t="s">
        <v>33</v>
      </c>
      <c r="N146" s="1">
        <v>5000.0</v>
      </c>
      <c r="O146" s="1" t="s">
        <v>34</v>
      </c>
      <c r="P146" s="1" t="s">
        <v>53</v>
      </c>
      <c r="Q146" s="1" t="s">
        <v>54</v>
      </c>
      <c r="R146" s="1" t="s">
        <v>53</v>
      </c>
      <c r="S146" s="4" t="s">
        <v>63</v>
      </c>
      <c r="T146" s="1" t="s">
        <v>264</v>
      </c>
      <c r="U146" s="5">
        <f t="shared" si="81"/>
        <v>0.08695652174</v>
      </c>
      <c r="V146" s="5">
        <f t="shared" si="82"/>
        <v>0</v>
      </c>
      <c r="W146" s="6">
        <f t="shared" si="83"/>
        <v>311590</v>
      </c>
      <c r="X146" s="4" t="s">
        <v>297</v>
      </c>
      <c r="Y146" s="6">
        <f t="shared" si="84"/>
        <v>338684.7826</v>
      </c>
      <c r="Z146" s="4" t="s">
        <v>297</v>
      </c>
    </row>
    <row r="147">
      <c r="A147" s="1">
        <v>222620.0</v>
      </c>
      <c r="B147" s="1" t="s">
        <v>624</v>
      </c>
      <c r="C147" s="1" t="s">
        <v>625</v>
      </c>
      <c r="D147" s="1" t="s">
        <v>28</v>
      </c>
      <c r="E147" s="1">
        <v>0.0</v>
      </c>
      <c r="F147" s="1">
        <v>0.0</v>
      </c>
      <c r="G147" s="1" t="s">
        <v>29</v>
      </c>
      <c r="H147" s="1" t="s">
        <v>626</v>
      </c>
      <c r="I147" s="1" t="s">
        <v>243</v>
      </c>
      <c r="J147" s="1" t="s">
        <v>50</v>
      </c>
      <c r="K147" s="3"/>
      <c r="L147" s="1" t="s">
        <v>32</v>
      </c>
      <c r="M147" s="1" t="s">
        <v>33</v>
      </c>
      <c r="N147" s="6"/>
      <c r="O147" s="1" t="s">
        <v>34</v>
      </c>
      <c r="P147" s="1" t="s">
        <v>35</v>
      </c>
      <c r="Q147" s="1" t="s">
        <v>36</v>
      </c>
      <c r="R147" s="1" t="s">
        <v>35</v>
      </c>
      <c r="S147" s="4" t="s">
        <v>63</v>
      </c>
      <c r="T147" s="1" t="s">
        <v>627</v>
      </c>
      <c r="U147" s="5"/>
      <c r="V147" s="5"/>
      <c r="W147" s="6"/>
      <c r="X147" s="4" t="s">
        <v>297</v>
      </c>
      <c r="Y147" s="6"/>
      <c r="Z147" s="4" t="s">
        <v>297</v>
      </c>
    </row>
    <row r="148">
      <c r="A148" s="1">
        <v>222366.0</v>
      </c>
      <c r="B148" s="1" t="s">
        <v>628</v>
      </c>
      <c r="C148" s="1" t="s">
        <v>629</v>
      </c>
      <c r="D148" s="1" t="s">
        <v>28</v>
      </c>
      <c r="E148" s="1">
        <v>0.0</v>
      </c>
      <c r="F148" s="1">
        <v>0.0</v>
      </c>
      <c r="G148" s="1" t="s">
        <v>29</v>
      </c>
      <c r="H148" s="1" t="s">
        <v>626</v>
      </c>
      <c r="I148" s="1" t="s">
        <v>630</v>
      </c>
      <c r="J148" s="1" t="s">
        <v>60</v>
      </c>
      <c r="K148" s="3"/>
      <c r="L148" s="1" t="s">
        <v>32</v>
      </c>
      <c r="M148" s="1" t="s">
        <v>33</v>
      </c>
      <c r="N148" s="3"/>
      <c r="O148" s="1" t="s">
        <v>78</v>
      </c>
      <c r="P148" s="1" t="s">
        <v>35</v>
      </c>
      <c r="Q148" s="1" t="s">
        <v>36</v>
      </c>
      <c r="R148" s="1" t="s">
        <v>35</v>
      </c>
      <c r="S148" s="4" t="s">
        <v>63</v>
      </c>
      <c r="T148" s="1" t="s">
        <v>631</v>
      </c>
      <c r="U148" s="5"/>
      <c r="V148" s="5"/>
      <c r="W148" s="6"/>
      <c r="X148" s="4" t="s">
        <v>297</v>
      </c>
      <c r="Y148" s="6"/>
      <c r="Z148" s="4" t="s">
        <v>297</v>
      </c>
    </row>
    <row r="149">
      <c r="A149" s="1">
        <v>113714.0</v>
      </c>
      <c r="B149" s="1" t="s">
        <v>632</v>
      </c>
      <c r="C149" s="1" t="s">
        <v>633</v>
      </c>
      <c r="D149" s="1" t="s">
        <v>28</v>
      </c>
      <c r="E149" s="2">
        <v>25000.0</v>
      </c>
      <c r="F149" s="2">
        <v>35000.0</v>
      </c>
      <c r="G149" s="1" t="s">
        <v>29</v>
      </c>
      <c r="H149" s="1" t="s">
        <v>634</v>
      </c>
      <c r="I149" s="1" t="s">
        <v>233</v>
      </c>
      <c r="J149" s="1" t="s">
        <v>60</v>
      </c>
      <c r="K149" s="1" t="s">
        <v>68</v>
      </c>
      <c r="L149" s="1" t="s">
        <v>32</v>
      </c>
      <c r="M149" s="1" t="s">
        <v>33</v>
      </c>
      <c r="N149" s="1">
        <v>30000.0</v>
      </c>
      <c r="O149" s="1" t="s">
        <v>199</v>
      </c>
      <c r="P149" s="1" t="s">
        <v>53</v>
      </c>
      <c r="Q149" s="1" t="s">
        <v>36</v>
      </c>
      <c r="R149" s="1" t="s">
        <v>35</v>
      </c>
      <c r="S149" s="4" t="s">
        <v>63</v>
      </c>
      <c r="T149" s="1" t="s">
        <v>306</v>
      </c>
      <c r="U149" s="5">
        <f t="shared" ref="U149:U150" si="85">(F149/E149)-1</f>
        <v>0.4</v>
      </c>
      <c r="V149" s="5">
        <f t="shared" ref="V149:V150" si="86">ROUNDDOWN(N149/E149,0)</f>
        <v>1</v>
      </c>
      <c r="W149" s="6">
        <f t="shared" ref="W149:W150" si="87">13.33*E149+N149</f>
        <v>363250</v>
      </c>
      <c r="X149" s="6"/>
      <c r="Y149" s="6">
        <f t="shared" ref="Y149:Y150" si="88">W149+(W149*U149)</f>
        <v>508550</v>
      </c>
      <c r="Z149" s="3" t="str">
        <f t="shared" ref="Z149:Z150" si="89">IF(Y149&lt;100000,"abaixo de R$100.000",IF(AND(Y149&gt;=100000,Y149&lt;200000),"R$100.000 - R$200.000",IF(AND(Y149&gt;=200000,Y149&lt;300000),"R$200.000 - R$300.000",IF(AND(Y149&gt;=300000,Y149&lt;400000),"R$300.000 - R$400.000",IF(AND(Y149&gt;=400000,Y149&lt;500000),"R$400.000 - R$500.000",IF(AND(Y149&gt;=500000,Y149&lt;600000),"R$500.000 - R$600.000",IF(AND(Y149&gt;=600000,Y149&lt;700000),"R$600.000 - R$700.000",IF(AND(Y149&gt;=700000,Y149&lt;800000),"R$700.000 - R$800.000",IF(AND(Y149&gt;=800000,Y149&lt;900000),"R$800.000 - R$900.000","Superior a R$900.000")))))))))</f>
        <v>R$500.000 - R$600.000</v>
      </c>
    </row>
    <row r="150">
      <c r="A150" s="1">
        <v>219085.0</v>
      </c>
      <c r="B150" s="1" t="s">
        <v>635</v>
      </c>
      <c r="C150" s="1" t="s">
        <v>636</v>
      </c>
      <c r="D150" s="1" t="s">
        <v>28</v>
      </c>
      <c r="E150" s="2">
        <v>32000.0</v>
      </c>
      <c r="F150" s="2">
        <v>38000.0</v>
      </c>
      <c r="G150" s="1" t="s">
        <v>29</v>
      </c>
      <c r="H150" s="1" t="s">
        <v>637</v>
      </c>
      <c r="I150" s="1" t="s">
        <v>638</v>
      </c>
      <c r="J150" s="1" t="s">
        <v>60</v>
      </c>
      <c r="K150" s="3"/>
      <c r="L150" s="1" t="s">
        <v>51</v>
      </c>
      <c r="M150" s="1" t="s">
        <v>52</v>
      </c>
      <c r="N150" s="1">
        <v>130000.0</v>
      </c>
      <c r="O150" s="1" t="s">
        <v>135</v>
      </c>
      <c r="P150" s="1" t="s">
        <v>35</v>
      </c>
      <c r="Q150" s="1" t="s">
        <v>172</v>
      </c>
      <c r="R150" s="1" t="s">
        <v>35</v>
      </c>
      <c r="S150" s="4" t="s">
        <v>63</v>
      </c>
      <c r="T150" s="1" t="s">
        <v>256</v>
      </c>
      <c r="U150" s="5">
        <f t="shared" si="85"/>
        <v>0.1875</v>
      </c>
      <c r="V150" s="5">
        <f t="shared" si="86"/>
        <v>4</v>
      </c>
      <c r="W150" s="6">
        <f t="shared" si="87"/>
        <v>556560</v>
      </c>
      <c r="X150" s="6" t="str">
        <f>IF(W150&lt;100000,"abaixo de R$100.000",IF(AND(W150&gt;=100000,W150&lt;200000),"R$100.000 - R$200.000",IF(AND(W150&gt;=200000,W150&lt;300000),"R$200.000 - R$300.000",IF(AND(W150&gt;=300000,W150&lt;400000),"R$300.000 - R$400.000",IF(AND(W150&gt;=400000,W150&lt;500000),"R$400.000 - R$500.000",IF(AND(W150&gt;=500000,W150&lt;600000),"R$500.000 - R$600.000",IF(AND(W150&gt;=600000,W150&lt;700000),"R$600.000 - R$700.000",IF(AND(W150&gt;=700000,W150&lt;800000),"R$700.000 - R$800.000",IF(AND(W150&gt;=800000,W150&lt;900000),"R$800.000 - R$900.000","Superior a R$900.000")))))))))</f>
        <v>R$500.000 - R$600.000</v>
      </c>
      <c r="Y150" s="6">
        <f t="shared" si="88"/>
        <v>660915</v>
      </c>
      <c r="Z150" s="3" t="str">
        <f t="shared" si="89"/>
        <v>R$600.000 - R$700.000</v>
      </c>
    </row>
    <row r="151">
      <c r="A151" s="1">
        <v>222470.0</v>
      </c>
      <c r="B151" s="1" t="s">
        <v>639</v>
      </c>
      <c r="C151" s="1" t="s">
        <v>640</v>
      </c>
      <c r="D151" s="1" t="s">
        <v>28</v>
      </c>
      <c r="E151" s="1">
        <v>0.0</v>
      </c>
      <c r="F151" s="1">
        <v>0.0</v>
      </c>
      <c r="G151" s="1" t="s">
        <v>29</v>
      </c>
      <c r="H151" s="1" t="s">
        <v>637</v>
      </c>
      <c r="I151" s="1" t="s">
        <v>118</v>
      </c>
      <c r="J151" s="1" t="s">
        <v>77</v>
      </c>
      <c r="K151" s="3"/>
      <c r="L151" s="1" t="s">
        <v>32</v>
      </c>
      <c r="M151" s="1" t="s">
        <v>33</v>
      </c>
      <c r="N151" s="3"/>
      <c r="O151" s="1" t="s">
        <v>119</v>
      </c>
      <c r="P151" s="1" t="s">
        <v>53</v>
      </c>
      <c r="Q151" s="1" t="s">
        <v>36</v>
      </c>
      <c r="R151" s="1" t="s">
        <v>35</v>
      </c>
      <c r="S151" s="4" t="s">
        <v>63</v>
      </c>
      <c r="T151" s="1" t="s">
        <v>641</v>
      </c>
      <c r="U151" s="5"/>
      <c r="V151" s="5"/>
      <c r="W151" s="6"/>
      <c r="X151" s="4" t="s">
        <v>297</v>
      </c>
      <c r="Y151" s="6"/>
      <c r="Z151" s="4" t="s">
        <v>297</v>
      </c>
    </row>
    <row r="152">
      <c r="A152" s="1">
        <v>108250.0</v>
      </c>
      <c r="B152" s="1" t="s">
        <v>642</v>
      </c>
      <c r="C152" s="1" t="s">
        <v>643</v>
      </c>
      <c r="D152" s="1" t="s">
        <v>28</v>
      </c>
      <c r="E152" s="2">
        <v>20000.0</v>
      </c>
      <c r="F152" s="2">
        <v>24000.0</v>
      </c>
      <c r="G152" s="1" t="s">
        <v>29</v>
      </c>
      <c r="H152" s="1" t="s">
        <v>637</v>
      </c>
      <c r="I152" s="1" t="s">
        <v>644</v>
      </c>
      <c r="J152" s="1" t="s">
        <v>77</v>
      </c>
      <c r="K152" s="1" t="s">
        <v>68</v>
      </c>
      <c r="L152" s="1" t="s">
        <v>51</v>
      </c>
      <c r="M152" s="1" t="s">
        <v>33</v>
      </c>
      <c r="N152" s="1">
        <v>60000.0</v>
      </c>
      <c r="O152" s="1" t="s">
        <v>44</v>
      </c>
      <c r="P152" s="1" t="s">
        <v>53</v>
      </c>
      <c r="Q152" s="1" t="s">
        <v>36</v>
      </c>
      <c r="R152" s="1" t="s">
        <v>35</v>
      </c>
      <c r="S152" s="4" t="s">
        <v>63</v>
      </c>
      <c r="T152" s="1" t="s">
        <v>645</v>
      </c>
      <c r="U152" s="5">
        <f t="shared" ref="U152:U154" si="90">(F152/E152)-1</f>
        <v>0.2</v>
      </c>
      <c r="V152" s="5">
        <f t="shared" ref="V152:V154" si="91">ROUNDDOWN(N152/E152,0)</f>
        <v>3</v>
      </c>
      <c r="W152" s="6">
        <f t="shared" ref="W152:W154" si="92">13.33*E152+N152</f>
        <v>326600</v>
      </c>
      <c r="X152" s="4" t="s">
        <v>297</v>
      </c>
      <c r="Y152" s="6">
        <f t="shared" ref="Y152:Y154" si="93">W152+(W152*U152)</f>
        <v>391920</v>
      </c>
      <c r="Z152" s="4" t="s">
        <v>297</v>
      </c>
    </row>
    <row r="153">
      <c r="A153" s="1">
        <v>112103.0</v>
      </c>
      <c r="B153" s="1" t="s">
        <v>646</v>
      </c>
      <c r="C153" s="1" t="s">
        <v>647</v>
      </c>
      <c r="D153" s="1" t="s">
        <v>28</v>
      </c>
      <c r="E153" s="2">
        <v>12000.0</v>
      </c>
      <c r="F153" s="2">
        <v>14400.0</v>
      </c>
      <c r="G153" s="1" t="s">
        <v>29</v>
      </c>
      <c r="H153" s="1" t="s">
        <v>648</v>
      </c>
      <c r="I153" s="1" t="s">
        <v>649</v>
      </c>
      <c r="J153" s="1" t="s">
        <v>77</v>
      </c>
      <c r="K153" s="3"/>
      <c r="L153" s="1" t="s">
        <v>32</v>
      </c>
      <c r="M153" s="1" t="s">
        <v>33</v>
      </c>
      <c r="N153" s="1">
        <v>12000.0</v>
      </c>
      <c r="O153" s="1" t="s">
        <v>650</v>
      </c>
      <c r="P153" s="1" t="s">
        <v>53</v>
      </c>
      <c r="Q153" s="1" t="s">
        <v>172</v>
      </c>
      <c r="R153" s="1" t="s">
        <v>35</v>
      </c>
      <c r="S153" s="4" t="s">
        <v>63</v>
      </c>
      <c r="T153" s="1" t="s">
        <v>195</v>
      </c>
      <c r="U153" s="5">
        <f t="shared" si="90"/>
        <v>0.2</v>
      </c>
      <c r="V153" s="5">
        <f t="shared" si="91"/>
        <v>1</v>
      </c>
      <c r="W153" s="6">
        <f t="shared" si="92"/>
        <v>171960</v>
      </c>
      <c r="X153" s="4" t="s">
        <v>297</v>
      </c>
      <c r="Y153" s="6">
        <f t="shared" si="93"/>
        <v>206352</v>
      </c>
      <c r="Z153" s="4" t="s">
        <v>297</v>
      </c>
    </row>
    <row r="154">
      <c r="A154" s="1">
        <v>107924.0</v>
      </c>
      <c r="B154" s="1" t="s">
        <v>651</v>
      </c>
      <c r="C154" s="1" t="s">
        <v>652</v>
      </c>
      <c r="D154" s="1" t="s">
        <v>28</v>
      </c>
      <c r="E154" s="2">
        <v>40000.0</v>
      </c>
      <c r="F154" s="2">
        <f>E154*1.15</f>
        <v>46000</v>
      </c>
      <c r="G154" s="1" t="s">
        <v>29</v>
      </c>
      <c r="H154" s="1" t="s">
        <v>653</v>
      </c>
      <c r="I154" s="1" t="s">
        <v>99</v>
      </c>
      <c r="J154" s="1" t="s">
        <v>31</v>
      </c>
      <c r="K154" s="1" t="s">
        <v>68</v>
      </c>
      <c r="L154" s="1" t="s">
        <v>32</v>
      </c>
      <c r="M154" s="1" t="s">
        <v>33</v>
      </c>
      <c r="N154" s="1">
        <v>160000.0</v>
      </c>
      <c r="O154" s="1" t="s">
        <v>171</v>
      </c>
      <c r="P154" s="1" t="s">
        <v>53</v>
      </c>
      <c r="Q154" s="1" t="s">
        <v>54</v>
      </c>
      <c r="R154" s="1" t="s">
        <v>35</v>
      </c>
      <c r="S154" s="4" t="s">
        <v>63</v>
      </c>
      <c r="T154" s="1" t="s">
        <v>654</v>
      </c>
      <c r="U154" s="5">
        <f t="shared" si="90"/>
        <v>0.15</v>
      </c>
      <c r="V154" s="5">
        <f t="shared" si="91"/>
        <v>4</v>
      </c>
      <c r="W154" s="6">
        <f t="shared" si="92"/>
        <v>693200</v>
      </c>
      <c r="X154" s="6" t="str">
        <f>IF(W154&lt;100000,"abaixo de R$100.000",IF(AND(W154&gt;=100000,W154&lt;200000),"R$100.000 - R$200.000",IF(AND(W154&gt;=200000,W154&lt;300000),"R$200.000 - R$300.000",IF(AND(W154&gt;=300000,W154&lt;400000),"R$300.000 - R$400.000",IF(AND(W154&gt;=400000,W154&lt;500000),"R$400.000 - R$500.000",IF(AND(W154&gt;=500000,W154&lt;600000),"R$500.000 - R$600.000",IF(AND(W154&gt;=600000,W154&lt;700000),"R$600.000 - R$700.000",IF(AND(W154&gt;=700000,W154&lt;800000),"R$700.000 - R$800.000",IF(AND(W154&gt;=800000,W154&lt;900000),"R$800.000 - R$900.000","Superior a R$900.000")))))))))</f>
        <v>R$600.000 - R$700.000</v>
      </c>
      <c r="Y154" s="6">
        <f t="shared" si="93"/>
        <v>797180</v>
      </c>
      <c r="Z154" s="3" t="str">
        <f>IF(Y154&lt;100000,"abaixo de R$100.000",IF(AND(Y154&gt;=100000,Y154&lt;200000),"R$100.000 - R$200.000",IF(AND(Y154&gt;=200000,Y154&lt;300000),"R$200.000 - R$300.000",IF(AND(Y154&gt;=300000,Y154&lt;400000),"R$300.000 - R$400.000",IF(AND(Y154&gt;=400000,Y154&lt;500000),"R$400.000 - R$500.000",IF(AND(Y154&gt;=500000,Y154&lt;600000),"R$500.000 - R$600.000",IF(AND(Y154&gt;=600000,Y154&lt;700000),"R$600.000 - R$700.000",IF(AND(Y154&gt;=700000,Y154&lt;800000),"R$700.000 - R$800.000",IF(AND(Y154&gt;=800000,Y154&lt;900000),"R$800.000 - R$900.000","Superior a R$900.000")))))))))</f>
        <v>R$700.000 - R$800.000</v>
      </c>
    </row>
    <row r="155">
      <c r="A155" s="1">
        <v>222608.0</v>
      </c>
      <c r="B155" s="1" t="s">
        <v>655</v>
      </c>
      <c r="C155" s="1">
        <v>5000.0</v>
      </c>
      <c r="D155" s="1" t="s">
        <v>28</v>
      </c>
      <c r="E155" s="1">
        <v>0.0</v>
      </c>
      <c r="F155" s="1">
        <v>0.0</v>
      </c>
      <c r="G155" s="1" t="s">
        <v>75</v>
      </c>
      <c r="H155" s="1" t="s">
        <v>656</v>
      </c>
      <c r="I155" s="1" t="s">
        <v>212</v>
      </c>
      <c r="J155" s="1" t="s">
        <v>60</v>
      </c>
      <c r="K155" s="3"/>
      <c r="L155" s="1" t="s">
        <v>51</v>
      </c>
      <c r="M155" s="1" t="s">
        <v>52</v>
      </c>
      <c r="N155" s="6"/>
      <c r="O155" s="1" t="s">
        <v>62</v>
      </c>
      <c r="P155" s="1" t="s">
        <v>53</v>
      </c>
      <c r="Q155" s="1" t="s">
        <v>36</v>
      </c>
      <c r="R155" s="1" t="s">
        <v>53</v>
      </c>
      <c r="S155" s="4" t="s">
        <v>63</v>
      </c>
      <c r="T155" s="1" t="s">
        <v>149</v>
      </c>
      <c r="U155" s="5"/>
      <c r="V155" s="5"/>
      <c r="W155" s="6"/>
      <c r="X155" s="4" t="s">
        <v>297</v>
      </c>
      <c r="Y155" s="6"/>
      <c r="Z155" s="4" t="s">
        <v>297</v>
      </c>
    </row>
    <row r="156">
      <c r="A156" s="1">
        <v>102239.0</v>
      </c>
      <c r="B156" s="1" t="s">
        <v>657</v>
      </c>
      <c r="C156" s="1" t="s">
        <v>658</v>
      </c>
      <c r="D156" s="1" t="s">
        <v>28</v>
      </c>
      <c r="E156" s="2">
        <v>25000.0</v>
      </c>
      <c r="F156" s="2">
        <v>25000.0</v>
      </c>
      <c r="G156" s="1" t="s">
        <v>29</v>
      </c>
      <c r="H156" s="1" t="s">
        <v>659</v>
      </c>
      <c r="I156" s="1" t="s">
        <v>212</v>
      </c>
      <c r="J156" s="1" t="s">
        <v>60</v>
      </c>
      <c r="K156" s="1" t="s">
        <v>68</v>
      </c>
      <c r="L156" s="1" t="s">
        <v>51</v>
      </c>
      <c r="M156" s="1" t="s">
        <v>52</v>
      </c>
      <c r="N156" s="1">
        <v>152000.0</v>
      </c>
      <c r="O156" s="1" t="s">
        <v>44</v>
      </c>
      <c r="P156" s="1" t="s">
        <v>53</v>
      </c>
      <c r="Q156" s="1" t="s">
        <v>54</v>
      </c>
      <c r="R156" s="1" t="s">
        <v>35</v>
      </c>
      <c r="S156" s="4" t="s">
        <v>63</v>
      </c>
      <c r="T156" s="1" t="s">
        <v>660</v>
      </c>
      <c r="U156" s="5">
        <f t="shared" ref="U156:U161" si="94">(F156/E156)-1</f>
        <v>0</v>
      </c>
      <c r="V156" s="5">
        <f t="shared" ref="V156:V161" si="95">ROUNDDOWN(N156/E156,0)</f>
        <v>6</v>
      </c>
      <c r="W156" s="6">
        <f t="shared" ref="W156:W161" si="96">13.33*E156+N156</f>
        <v>485250</v>
      </c>
      <c r="X156" s="6" t="str">
        <f t="shared" ref="X156:X161" si="97">IF(W156&lt;100000,"abaixo de R$100.000",IF(AND(W156&gt;=100000,W156&lt;200000),"R$100.000 - R$200.000",IF(AND(W156&gt;=200000,W156&lt;300000),"R$200.000 - R$300.000",IF(AND(W156&gt;=300000,W156&lt;400000),"R$300.000 - R$400.000",IF(AND(W156&gt;=400000,W156&lt;500000),"R$400.000 - R$500.000",IF(AND(W156&gt;=500000,W156&lt;600000),"R$500.000 - R$600.000",IF(AND(W156&gt;=600000,W156&lt;700000),"R$600.000 - R$700.000",IF(AND(W156&gt;=700000,W156&lt;800000),"R$700.000 - R$800.000",IF(AND(W156&gt;=800000,W156&lt;900000),"R$800.000 - R$900.000","Superior a R$900.000")))))))))</f>
        <v>R$400.000 - R$500.000</v>
      </c>
      <c r="Y156" s="6">
        <f t="shared" ref="Y156:Y161" si="98">W156+(W156*U156)</f>
        <v>485250</v>
      </c>
      <c r="Z156" s="3" t="str">
        <f t="shared" ref="Z156:Z161" si="99">IF(Y156&lt;100000,"abaixo de R$100.000",IF(AND(Y156&gt;=100000,Y156&lt;200000),"R$100.000 - R$200.000",IF(AND(Y156&gt;=200000,Y156&lt;300000),"R$200.000 - R$300.000",IF(AND(Y156&gt;=300000,Y156&lt;400000),"R$300.000 - R$400.000",IF(AND(Y156&gt;=400000,Y156&lt;500000),"R$400.000 - R$500.000",IF(AND(Y156&gt;=500000,Y156&lt;600000),"R$500.000 - R$600.000",IF(AND(Y156&gt;=600000,Y156&lt;700000),"R$600.000 - R$700.000",IF(AND(Y156&gt;=700000,Y156&lt;800000),"R$700.000 - R$800.000",IF(AND(Y156&gt;=800000,Y156&lt;900000),"R$800.000 - R$900.000","Superior a R$900.000")))))))))</f>
        <v>R$400.000 - R$500.000</v>
      </c>
    </row>
    <row r="157">
      <c r="A157" s="1">
        <v>152075.0</v>
      </c>
      <c r="B157" s="1" t="s">
        <v>661</v>
      </c>
      <c r="C157" s="1" t="s">
        <v>662</v>
      </c>
      <c r="D157" s="1" t="s">
        <v>28</v>
      </c>
      <c r="E157" s="2">
        <v>30000.0</v>
      </c>
      <c r="F157" s="2">
        <v>42000.0</v>
      </c>
      <c r="G157" s="1" t="s">
        <v>29</v>
      </c>
      <c r="H157" s="1" t="s">
        <v>663</v>
      </c>
      <c r="I157" s="1" t="s">
        <v>439</v>
      </c>
      <c r="J157" s="1" t="s">
        <v>60</v>
      </c>
      <c r="K157" s="3"/>
      <c r="L157" s="1" t="s">
        <v>51</v>
      </c>
      <c r="M157" s="1" t="s">
        <v>33</v>
      </c>
      <c r="N157" s="1">
        <v>90000.0</v>
      </c>
      <c r="O157" s="1" t="s">
        <v>78</v>
      </c>
      <c r="P157" s="1" t="s">
        <v>53</v>
      </c>
      <c r="Q157" s="1" t="s">
        <v>36</v>
      </c>
      <c r="R157" s="1" t="s">
        <v>35</v>
      </c>
      <c r="S157" s="4" t="s">
        <v>63</v>
      </c>
      <c r="T157" s="1" t="s">
        <v>315</v>
      </c>
      <c r="U157" s="5">
        <f t="shared" si="94"/>
        <v>0.4</v>
      </c>
      <c r="V157" s="5">
        <f t="shared" si="95"/>
        <v>3</v>
      </c>
      <c r="W157" s="6">
        <f t="shared" si="96"/>
        <v>489900</v>
      </c>
      <c r="X157" s="6" t="str">
        <f t="shared" si="97"/>
        <v>R$400.000 - R$500.000</v>
      </c>
      <c r="Y157" s="6">
        <f t="shared" si="98"/>
        <v>685860</v>
      </c>
      <c r="Z157" s="3" t="str">
        <f t="shared" si="99"/>
        <v>R$600.000 - R$700.000</v>
      </c>
    </row>
    <row r="158">
      <c r="A158" s="1">
        <v>221608.0</v>
      </c>
      <c r="B158" s="1" t="s">
        <v>664</v>
      </c>
      <c r="C158" s="1" t="s">
        <v>665</v>
      </c>
      <c r="D158" s="1" t="s">
        <v>28</v>
      </c>
      <c r="E158" s="2">
        <v>35000.0</v>
      </c>
      <c r="F158" s="2">
        <v>35000.0</v>
      </c>
      <c r="G158" s="1" t="s">
        <v>29</v>
      </c>
      <c r="H158" s="1" t="s">
        <v>663</v>
      </c>
      <c r="I158" s="1" t="s">
        <v>666</v>
      </c>
      <c r="J158" s="1" t="s">
        <v>50</v>
      </c>
      <c r="K158" s="3"/>
      <c r="L158" s="1" t="s">
        <v>32</v>
      </c>
      <c r="M158" s="1" t="s">
        <v>33</v>
      </c>
      <c r="N158" s="1">
        <v>35000.0</v>
      </c>
      <c r="O158" s="1" t="s">
        <v>119</v>
      </c>
      <c r="P158" s="1" t="s">
        <v>53</v>
      </c>
      <c r="Q158" s="1" t="s">
        <v>36</v>
      </c>
      <c r="R158" s="1" t="s">
        <v>35</v>
      </c>
      <c r="S158" s="4" t="s">
        <v>63</v>
      </c>
      <c r="T158" s="1" t="s">
        <v>273</v>
      </c>
      <c r="U158" s="5">
        <f t="shared" si="94"/>
        <v>0</v>
      </c>
      <c r="V158" s="5">
        <f t="shared" si="95"/>
        <v>1</v>
      </c>
      <c r="W158" s="6">
        <f t="shared" si="96"/>
        <v>501550</v>
      </c>
      <c r="X158" s="6" t="str">
        <f t="shared" si="97"/>
        <v>R$500.000 - R$600.000</v>
      </c>
      <c r="Y158" s="6">
        <f t="shared" si="98"/>
        <v>501550</v>
      </c>
      <c r="Z158" s="3" t="str">
        <f t="shared" si="99"/>
        <v>R$500.000 - R$600.000</v>
      </c>
    </row>
    <row r="159">
      <c r="A159" s="1">
        <v>107301.0</v>
      </c>
      <c r="B159" s="1" t="s">
        <v>667</v>
      </c>
      <c r="C159" s="1" t="s">
        <v>668</v>
      </c>
      <c r="D159" s="1" t="s">
        <v>28</v>
      </c>
      <c r="E159" s="2">
        <v>40000.0</v>
      </c>
      <c r="F159" s="2">
        <v>45000.0</v>
      </c>
      <c r="G159" s="1" t="s">
        <v>29</v>
      </c>
      <c r="H159" s="1" t="s">
        <v>663</v>
      </c>
      <c r="I159" s="1" t="s">
        <v>669</v>
      </c>
      <c r="J159" s="1" t="s">
        <v>77</v>
      </c>
      <c r="K159" s="1" t="s">
        <v>68</v>
      </c>
      <c r="L159" s="1" t="s">
        <v>51</v>
      </c>
      <c r="M159" s="1" t="s">
        <v>33</v>
      </c>
      <c r="N159" s="1">
        <v>240000.0</v>
      </c>
      <c r="O159" s="1" t="s">
        <v>650</v>
      </c>
      <c r="P159" s="1" t="s">
        <v>53</v>
      </c>
      <c r="Q159" s="1" t="s">
        <v>36</v>
      </c>
      <c r="R159" s="1" t="s">
        <v>35</v>
      </c>
      <c r="S159" s="4" t="s">
        <v>63</v>
      </c>
      <c r="T159" s="1" t="s">
        <v>367</v>
      </c>
      <c r="U159" s="5">
        <f t="shared" si="94"/>
        <v>0.125</v>
      </c>
      <c r="V159" s="5">
        <f t="shared" si="95"/>
        <v>6</v>
      </c>
      <c r="W159" s="6">
        <f t="shared" si="96"/>
        <v>773200</v>
      </c>
      <c r="X159" s="6" t="str">
        <f t="shared" si="97"/>
        <v>R$700.000 - R$800.000</v>
      </c>
      <c r="Y159" s="6">
        <f t="shared" si="98"/>
        <v>869850</v>
      </c>
      <c r="Z159" s="3" t="str">
        <f t="shared" si="99"/>
        <v>R$800.000 - R$900.000</v>
      </c>
    </row>
    <row r="160">
      <c r="A160" s="1">
        <v>151966.0</v>
      </c>
      <c r="B160" s="1" t="s">
        <v>670</v>
      </c>
      <c r="C160" s="1" t="s">
        <v>671</v>
      </c>
      <c r="D160" s="1" t="s">
        <v>28</v>
      </c>
      <c r="E160" s="2">
        <v>70000.0</v>
      </c>
      <c r="F160" s="2">
        <f>E160*1.12</f>
        <v>78400</v>
      </c>
      <c r="G160" s="1" t="s">
        <v>29</v>
      </c>
      <c r="H160" s="1" t="s">
        <v>663</v>
      </c>
      <c r="I160" s="1" t="s">
        <v>99</v>
      </c>
      <c r="J160" s="1" t="s">
        <v>31</v>
      </c>
      <c r="K160" s="1" t="s">
        <v>68</v>
      </c>
      <c r="L160" s="1" t="s">
        <v>51</v>
      </c>
      <c r="M160" s="1" t="s">
        <v>33</v>
      </c>
      <c r="N160" s="1">
        <v>258500.0</v>
      </c>
      <c r="O160" s="1" t="s">
        <v>34</v>
      </c>
      <c r="P160" s="1" t="s">
        <v>35</v>
      </c>
      <c r="Q160" s="1" t="s">
        <v>36</v>
      </c>
      <c r="R160" s="1" t="s">
        <v>35</v>
      </c>
      <c r="S160" s="4" t="s">
        <v>381</v>
      </c>
      <c r="T160" s="1" t="s">
        <v>223</v>
      </c>
      <c r="U160" s="5">
        <f t="shared" si="94"/>
        <v>0.12</v>
      </c>
      <c r="V160" s="5">
        <f t="shared" si="95"/>
        <v>3</v>
      </c>
      <c r="W160" s="6">
        <f t="shared" si="96"/>
        <v>1191600</v>
      </c>
      <c r="X160" s="6" t="str">
        <f t="shared" si="97"/>
        <v>Superior a R$900.000</v>
      </c>
      <c r="Y160" s="6">
        <f t="shared" si="98"/>
        <v>1334592</v>
      </c>
      <c r="Z160" s="3" t="str">
        <f t="shared" si="99"/>
        <v>Superior a R$900.000</v>
      </c>
    </row>
    <row r="161">
      <c r="A161" s="1">
        <v>112163.0</v>
      </c>
      <c r="B161" s="1" t="s">
        <v>672</v>
      </c>
      <c r="C161" s="1" t="s">
        <v>673</v>
      </c>
      <c r="D161" s="1" t="s">
        <v>28</v>
      </c>
      <c r="E161" s="2">
        <v>70000.0</v>
      </c>
      <c r="F161" s="2">
        <v>84000.0</v>
      </c>
      <c r="G161" s="1" t="s">
        <v>29</v>
      </c>
      <c r="H161" s="1" t="s">
        <v>663</v>
      </c>
      <c r="I161" s="1" t="s">
        <v>674</v>
      </c>
      <c r="J161" s="1" t="s">
        <v>31</v>
      </c>
      <c r="K161" s="3"/>
      <c r="L161" s="1" t="s">
        <v>32</v>
      </c>
      <c r="M161" s="1" t="s">
        <v>69</v>
      </c>
      <c r="N161" s="1">
        <v>420000.0</v>
      </c>
      <c r="O161" s="1" t="s">
        <v>119</v>
      </c>
      <c r="P161" s="1" t="s">
        <v>53</v>
      </c>
      <c r="Q161" s="1" t="s">
        <v>36</v>
      </c>
      <c r="R161" s="1" t="s">
        <v>35</v>
      </c>
      <c r="S161" s="4" t="s">
        <v>381</v>
      </c>
      <c r="T161" s="1" t="s">
        <v>256</v>
      </c>
      <c r="U161" s="5">
        <f t="shared" si="94"/>
        <v>0.2</v>
      </c>
      <c r="V161" s="5">
        <f t="shared" si="95"/>
        <v>6</v>
      </c>
      <c r="W161" s="6">
        <f t="shared" si="96"/>
        <v>1353100</v>
      </c>
      <c r="X161" s="6" t="str">
        <f t="shared" si="97"/>
        <v>Superior a R$900.000</v>
      </c>
      <c r="Y161" s="6">
        <f t="shared" si="98"/>
        <v>1623720</v>
      </c>
      <c r="Z161" s="3" t="str">
        <f t="shared" si="99"/>
        <v>Superior a R$900.000</v>
      </c>
    </row>
    <row r="162">
      <c r="A162" s="1">
        <v>222553.0</v>
      </c>
      <c r="B162" s="1" t="s">
        <v>675</v>
      </c>
      <c r="C162" s="1" t="s">
        <v>676</v>
      </c>
      <c r="D162" s="1" t="s">
        <v>28</v>
      </c>
      <c r="E162" s="1">
        <v>0.0</v>
      </c>
      <c r="F162" s="1">
        <v>0.0</v>
      </c>
      <c r="G162" s="1" t="s">
        <v>29</v>
      </c>
      <c r="H162" s="1" t="s">
        <v>663</v>
      </c>
      <c r="I162" s="1" t="s">
        <v>677</v>
      </c>
      <c r="J162" s="1" t="s">
        <v>31</v>
      </c>
      <c r="K162" s="3"/>
      <c r="L162" s="1" t="s">
        <v>32</v>
      </c>
      <c r="M162" s="1" t="s">
        <v>52</v>
      </c>
      <c r="N162" s="3"/>
      <c r="O162" s="1" t="s">
        <v>62</v>
      </c>
      <c r="P162" s="1" t="s">
        <v>53</v>
      </c>
      <c r="Q162" s="1" t="s">
        <v>54</v>
      </c>
      <c r="R162" s="1" t="s">
        <v>35</v>
      </c>
      <c r="S162" s="4" t="s">
        <v>63</v>
      </c>
      <c r="T162" s="1" t="s">
        <v>678</v>
      </c>
      <c r="U162" s="5"/>
      <c r="V162" s="5"/>
      <c r="W162" s="6"/>
      <c r="X162" s="4" t="s">
        <v>297</v>
      </c>
      <c r="Y162" s="6"/>
      <c r="Z162" s="4" t="s">
        <v>297</v>
      </c>
    </row>
    <row r="163">
      <c r="A163" s="1">
        <v>219526.0</v>
      </c>
      <c r="B163" s="1" t="s">
        <v>679</v>
      </c>
      <c r="C163" s="1" t="s">
        <v>680</v>
      </c>
      <c r="D163" s="1" t="s">
        <v>28</v>
      </c>
      <c r="E163" s="1">
        <v>0.0</v>
      </c>
      <c r="F163" s="1">
        <v>0.0</v>
      </c>
      <c r="G163" s="1" t="s">
        <v>29</v>
      </c>
      <c r="H163" s="1" t="s">
        <v>663</v>
      </c>
      <c r="I163" s="1" t="s">
        <v>681</v>
      </c>
      <c r="J163" s="1" t="s">
        <v>77</v>
      </c>
      <c r="K163" s="3"/>
      <c r="L163" s="1" t="s">
        <v>32</v>
      </c>
      <c r="M163" s="1" t="s">
        <v>33</v>
      </c>
      <c r="N163" s="3"/>
      <c r="O163" s="1" t="s">
        <v>62</v>
      </c>
      <c r="P163" s="1" t="s">
        <v>53</v>
      </c>
      <c r="Q163" s="1" t="s">
        <v>36</v>
      </c>
      <c r="R163" s="1" t="s">
        <v>35</v>
      </c>
      <c r="S163" s="4" t="s">
        <v>63</v>
      </c>
      <c r="T163" s="1" t="s">
        <v>682</v>
      </c>
      <c r="U163" s="5"/>
      <c r="V163" s="5"/>
      <c r="W163" s="6"/>
      <c r="X163" s="4" t="s">
        <v>297</v>
      </c>
      <c r="Y163" s="6"/>
      <c r="Z163" s="4" t="s">
        <v>413</v>
      </c>
    </row>
    <row r="164">
      <c r="A164" s="1">
        <v>114830.0</v>
      </c>
      <c r="B164" s="1" t="s">
        <v>683</v>
      </c>
      <c r="C164" s="1" t="s">
        <v>684</v>
      </c>
      <c r="D164" s="1" t="s">
        <v>28</v>
      </c>
      <c r="E164" s="1">
        <v>0.0</v>
      </c>
      <c r="F164" s="1">
        <v>0.0</v>
      </c>
      <c r="G164" s="1" t="s">
        <v>29</v>
      </c>
      <c r="H164" s="1" t="s">
        <v>663</v>
      </c>
      <c r="I164" s="1" t="s">
        <v>685</v>
      </c>
      <c r="J164" s="1" t="s">
        <v>60</v>
      </c>
      <c r="K164" s="3"/>
      <c r="L164" s="1" t="s">
        <v>51</v>
      </c>
      <c r="M164" s="1" t="s">
        <v>33</v>
      </c>
      <c r="N164" s="3"/>
      <c r="O164" s="1" t="s">
        <v>34</v>
      </c>
      <c r="P164" s="1" t="s">
        <v>53</v>
      </c>
      <c r="Q164" s="1" t="s">
        <v>36</v>
      </c>
      <c r="R164" s="1" t="s">
        <v>35</v>
      </c>
      <c r="S164" s="4" t="s">
        <v>63</v>
      </c>
      <c r="T164" s="1" t="s">
        <v>686</v>
      </c>
      <c r="U164" s="5"/>
      <c r="V164" s="5"/>
      <c r="W164" s="6"/>
      <c r="X164" s="4" t="s">
        <v>297</v>
      </c>
      <c r="Y164" s="6"/>
      <c r="Z164" s="4" t="s">
        <v>413</v>
      </c>
    </row>
    <row r="165">
      <c r="A165" s="1">
        <v>128209.0</v>
      </c>
      <c r="B165" s="1" t="s">
        <v>687</v>
      </c>
      <c r="C165" s="1" t="s">
        <v>688</v>
      </c>
      <c r="D165" s="1" t="s">
        <v>28</v>
      </c>
      <c r="E165" s="2">
        <v>15000.0</v>
      </c>
      <c r="F165" s="2">
        <v>18000.0</v>
      </c>
      <c r="G165" s="1" t="s">
        <v>29</v>
      </c>
      <c r="H165" s="1" t="s">
        <v>663</v>
      </c>
      <c r="I165" s="1" t="s">
        <v>439</v>
      </c>
      <c r="J165" s="1" t="s">
        <v>60</v>
      </c>
      <c r="K165" s="3"/>
      <c r="L165" s="1" t="s">
        <v>51</v>
      </c>
      <c r="M165" s="1" t="s">
        <v>33</v>
      </c>
      <c r="N165" s="1">
        <v>6000.0</v>
      </c>
      <c r="O165" s="1" t="s">
        <v>94</v>
      </c>
      <c r="P165" s="1" t="s">
        <v>35</v>
      </c>
      <c r="Q165" s="1" t="s">
        <v>36</v>
      </c>
      <c r="R165" s="1" t="s">
        <v>35</v>
      </c>
      <c r="S165" s="4" t="s">
        <v>63</v>
      </c>
      <c r="T165" s="1" t="s">
        <v>689</v>
      </c>
      <c r="U165" s="5">
        <f t="shared" ref="U165:U172" si="100">(F165/E165)-1</f>
        <v>0.2</v>
      </c>
      <c r="V165" s="5">
        <f t="shared" ref="V165:V172" si="101">ROUNDDOWN(N165/E165,0)</f>
        <v>0</v>
      </c>
      <c r="W165" s="6">
        <f t="shared" ref="W165:W172" si="102">13.33*E165+N165</f>
        <v>205950</v>
      </c>
      <c r="X165" s="4" t="s">
        <v>297</v>
      </c>
      <c r="Y165" s="6">
        <f t="shared" ref="Y165:Y172" si="103">W165+(W165*U165)</f>
        <v>247140</v>
      </c>
      <c r="Z165" s="4" t="s">
        <v>413</v>
      </c>
    </row>
    <row r="166">
      <c r="A166" s="1">
        <v>114839.0</v>
      </c>
      <c r="B166" s="1" t="s">
        <v>690</v>
      </c>
      <c r="C166" s="1" t="s">
        <v>691</v>
      </c>
      <c r="D166" s="1" t="s">
        <v>28</v>
      </c>
      <c r="E166" s="2">
        <v>16750.0</v>
      </c>
      <c r="F166" s="2">
        <v>22500.0</v>
      </c>
      <c r="G166" s="1" t="s">
        <v>29</v>
      </c>
      <c r="H166" s="1" t="s">
        <v>663</v>
      </c>
      <c r="I166" s="1" t="s">
        <v>692</v>
      </c>
      <c r="J166" s="1" t="s">
        <v>31</v>
      </c>
      <c r="K166" s="3"/>
      <c r="L166" s="1" t="s">
        <v>43</v>
      </c>
      <c r="M166" s="1" t="s">
        <v>52</v>
      </c>
      <c r="N166" s="1">
        <v>75000.0</v>
      </c>
      <c r="O166" s="1" t="s">
        <v>171</v>
      </c>
      <c r="P166" s="1" t="s">
        <v>53</v>
      </c>
      <c r="Q166" s="1" t="s">
        <v>54</v>
      </c>
      <c r="R166" s="1" t="s">
        <v>35</v>
      </c>
      <c r="S166" s="4" t="s">
        <v>63</v>
      </c>
      <c r="T166" s="1" t="s">
        <v>693</v>
      </c>
      <c r="U166" s="5">
        <f t="shared" si="100"/>
        <v>0.3432835821</v>
      </c>
      <c r="V166" s="5">
        <f t="shared" si="101"/>
        <v>4</v>
      </c>
      <c r="W166" s="6">
        <f t="shared" si="102"/>
        <v>298277.5</v>
      </c>
      <c r="X166" s="6"/>
      <c r="Y166" s="6">
        <f t="shared" si="103"/>
        <v>400671.2687</v>
      </c>
      <c r="Z166" s="3" t="str">
        <f>IF(Y166&lt;100000,"abaixo de R$100.000",IF(AND(Y166&gt;=100000,Y166&lt;200000),"R$100.000 - R$200.000",IF(AND(Y166&gt;=200000,Y166&lt;300000),"R$200.000 - R$300.000",IF(AND(Y166&gt;=300000,Y166&lt;400000),"R$300.000 - R$400.000",IF(AND(Y166&gt;=400000,Y166&lt;500000),"R$400.000 - R$500.000",IF(AND(Y166&gt;=500000,Y166&lt;600000),"R$500.000 - R$600.000",IF(AND(Y166&gt;=600000,Y166&lt;700000),"R$600.000 - R$700.000",IF(AND(Y166&gt;=700000,Y166&lt;800000),"R$700.000 - R$800.000",IF(AND(Y166&gt;=800000,Y166&lt;900000),"R$800.000 - R$900.000","Superior a R$900.000")))))))))</f>
        <v>R$400.000 - R$500.000</v>
      </c>
    </row>
    <row r="167">
      <c r="A167" s="1">
        <v>114842.0</v>
      </c>
      <c r="B167" s="1" t="s">
        <v>694</v>
      </c>
      <c r="C167" s="1" t="s">
        <v>695</v>
      </c>
      <c r="D167" s="1" t="s">
        <v>28</v>
      </c>
      <c r="E167" s="2">
        <v>17000.0</v>
      </c>
      <c r="F167" s="2">
        <v>25000.0</v>
      </c>
      <c r="G167" s="1" t="s">
        <v>29</v>
      </c>
      <c r="H167" s="1" t="s">
        <v>663</v>
      </c>
      <c r="I167" s="1" t="s">
        <v>212</v>
      </c>
      <c r="J167" s="1" t="s">
        <v>60</v>
      </c>
      <c r="K167" s="3"/>
      <c r="L167" s="1" t="s">
        <v>51</v>
      </c>
      <c r="M167" s="1" t="s">
        <v>33</v>
      </c>
      <c r="N167" s="1">
        <v>3000.0</v>
      </c>
      <c r="O167" s="1" t="s">
        <v>34</v>
      </c>
      <c r="P167" s="1" t="s">
        <v>35</v>
      </c>
      <c r="Q167" s="1" t="s">
        <v>36</v>
      </c>
      <c r="R167" s="1" t="s">
        <v>35</v>
      </c>
      <c r="S167" s="4" t="s">
        <v>63</v>
      </c>
      <c r="T167" s="1" t="s">
        <v>696</v>
      </c>
      <c r="U167" s="5">
        <f t="shared" si="100"/>
        <v>0.4705882353</v>
      </c>
      <c r="V167" s="5">
        <f t="shared" si="101"/>
        <v>0</v>
      </c>
      <c r="W167" s="6">
        <f t="shared" si="102"/>
        <v>229610</v>
      </c>
      <c r="X167" s="4" t="s">
        <v>297</v>
      </c>
      <c r="Y167" s="6">
        <f t="shared" si="103"/>
        <v>337661.7647</v>
      </c>
      <c r="Z167" s="4" t="s">
        <v>413</v>
      </c>
    </row>
    <row r="168">
      <c r="A168" s="1">
        <v>222527.0</v>
      </c>
      <c r="B168" s="1" t="s">
        <v>697</v>
      </c>
      <c r="C168" s="1" t="s">
        <v>698</v>
      </c>
      <c r="D168" s="1" t="s">
        <v>28</v>
      </c>
      <c r="E168" s="2">
        <v>17500.0</v>
      </c>
      <c r="F168" s="2">
        <v>25000.0</v>
      </c>
      <c r="G168" s="1" t="s">
        <v>29</v>
      </c>
      <c r="H168" s="1" t="s">
        <v>663</v>
      </c>
      <c r="I168" s="1" t="s">
        <v>699</v>
      </c>
      <c r="J168" s="1" t="s">
        <v>77</v>
      </c>
      <c r="K168" s="3"/>
      <c r="L168" s="1" t="s">
        <v>32</v>
      </c>
      <c r="M168" s="1" t="s">
        <v>33</v>
      </c>
      <c r="N168" s="1">
        <v>48000.0</v>
      </c>
      <c r="O168" s="1" t="s">
        <v>34</v>
      </c>
      <c r="P168" s="1" t="s">
        <v>35</v>
      </c>
      <c r="Q168" s="1" t="s">
        <v>54</v>
      </c>
      <c r="R168" s="1" t="s">
        <v>35</v>
      </c>
      <c r="S168" s="4" t="s">
        <v>63</v>
      </c>
      <c r="T168" s="1" t="s">
        <v>501</v>
      </c>
      <c r="U168" s="5">
        <f t="shared" si="100"/>
        <v>0.4285714286</v>
      </c>
      <c r="V168" s="5">
        <f t="shared" si="101"/>
        <v>2</v>
      </c>
      <c r="W168" s="6">
        <f t="shared" si="102"/>
        <v>281275</v>
      </c>
      <c r="X168" s="6"/>
      <c r="Y168" s="6">
        <f t="shared" si="103"/>
        <v>401821.4286</v>
      </c>
      <c r="Z168" s="3" t="str">
        <f>IF(Y168&lt;100000,"abaixo de R$100.000",IF(AND(Y168&gt;=100000,Y168&lt;200000),"R$100.000 - R$200.000",IF(AND(Y168&gt;=200000,Y168&lt;300000),"R$200.000 - R$300.000",IF(AND(Y168&gt;=300000,Y168&lt;400000),"R$300.000 - R$400.000",IF(AND(Y168&gt;=400000,Y168&lt;500000),"R$400.000 - R$500.000",IF(AND(Y168&gt;=500000,Y168&lt;600000),"R$500.000 - R$600.000",IF(AND(Y168&gt;=600000,Y168&lt;700000),"R$600.000 - R$700.000",IF(AND(Y168&gt;=700000,Y168&lt;800000),"R$700.000 - R$800.000",IF(AND(Y168&gt;=800000,Y168&lt;900000),"R$800.000 - R$900.000","Superior a R$900.000")))))))))</f>
        <v>R$400.000 - R$500.000</v>
      </c>
    </row>
    <row r="169">
      <c r="A169" s="1">
        <v>103609.0</v>
      </c>
      <c r="B169" s="1" t="s">
        <v>700</v>
      </c>
      <c r="C169" s="1" t="s">
        <v>701</v>
      </c>
      <c r="D169" s="1" t="s">
        <v>28</v>
      </c>
      <c r="E169" s="2">
        <v>20000.0</v>
      </c>
      <c r="F169" s="2">
        <v>25000.0</v>
      </c>
      <c r="G169" s="1" t="s">
        <v>29</v>
      </c>
      <c r="H169" s="1" t="s">
        <v>663</v>
      </c>
      <c r="I169" s="1" t="s">
        <v>144</v>
      </c>
      <c r="J169" s="1" t="s">
        <v>50</v>
      </c>
      <c r="K169" s="1" t="s">
        <v>702</v>
      </c>
      <c r="L169" s="1" t="s">
        <v>32</v>
      </c>
      <c r="M169" s="1" t="s">
        <v>33</v>
      </c>
      <c r="N169" s="1">
        <v>50000.0</v>
      </c>
      <c r="O169" s="1" t="s">
        <v>199</v>
      </c>
      <c r="P169" s="1" t="s">
        <v>53</v>
      </c>
      <c r="Q169" s="1" t="s">
        <v>36</v>
      </c>
      <c r="R169" s="1" t="s">
        <v>35</v>
      </c>
      <c r="S169" s="4" t="s">
        <v>63</v>
      </c>
      <c r="T169" s="1" t="s">
        <v>436</v>
      </c>
      <c r="U169" s="5">
        <f t="shared" si="100"/>
        <v>0.25</v>
      </c>
      <c r="V169" s="5">
        <f t="shared" si="101"/>
        <v>2</v>
      </c>
      <c r="W169" s="6">
        <f t="shared" si="102"/>
        <v>316600</v>
      </c>
      <c r="X169" s="4" t="s">
        <v>297</v>
      </c>
      <c r="Y169" s="6">
        <f t="shared" si="103"/>
        <v>395750</v>
      </c>
      <c r="Z169" s="4" t="s">
        <v>413</v>
      </c>
    </row>
    <row r="170">
      <c r="A170" s="1">
        <v>221132.0</v>
      </c>
      <c r="B170" s="1" t="s">
        <v>703</v>
      </c>
      <c r="C170" s="1" t="s">
        <v>704</v>
      </c>
      <c r="D170" s="1" t="s">
        <v>28</v>
      </c>
      <c r="E170" s="2">
        <v>25000.0</v>
      </c>
      <c r="F170" s="2">
        <v>30000.0</v>
      </c>
      <c r="G170" s="1" t="s">
        <v>29</v>
      </c>
      <c r="H170" s="1" t="s">
        <v>663</v>
      </c>
      <c r="I170" s="1" t="s">
        <v>233</v>
      </c>
      <c r="J170" s="1" t="s">
        <v>60</v>
      </c>
      <c r="K170" s="3"/>
      <c r="L170" s="1" t="s">
        <v>32</v>
      </c>
      <c r="M170" s="1" t="s">
        <v>52</v>
      </c>
      <c r="N170" s="1">
        <v>50000.0</v>
      </c>
      <c r="O170" s="1" t="s">
        <v>104</v>
      </c>
      <c r="P170" s="1" t="s">
        <v>35</v>
      </c>
      <c r="Q170" s="1" t="s">
        <v>172</v>
      </c>
      <c r="R170" s="1" t="s">
        <v>35</v>
      </c>
      <c r="S170" s="4" t="s">
        <v>63</v>
      </c>
      <c r="T170" s="1" t="s">
        <v>705</v>
      </c>
      <c r="U170" s="5">
        <f t="shared" si="100"/>
        <v>0.2</v>
      </c>
      <c r="V170" s="5">
        <f t="shared" si="101"/>
        <v>2</v>
      </c>
      <c r="W170" s="6">
        <f t="shared" si="102"/>
        <v>383250</v>
      </c>
      <c r="X170" s="6"/>
      <c r="Y170" s="6">
        <f t="shared" si="103"/>
        <v>459900</v>
      </c>
      <c r="Z170" s="3" t="str">
        <f t="shared" ref="Z170:Z172" si="104">IF(Y170&lt;100000,"abaixo de R$100.000",IF(AND(Y170&gt;=100000,Y170&lt;200000),"R$100.000 - R$200.000",IF(AND(Y170&gt;=200000,Y170&lt;300000),"R$200.000 - R$300.000",IF(AND(Y170&gt;=300000,Y170&lt;400000),"R$300.000 - R$400.000",IF(AND(Y170&gt;=400000,Y170&lt;500000),"R$400.000 - R$500.000",IF(AND(Y170&gt;=500000,Y170&lt;600000),"R$500.000 - R$600.000",IF(AND(Y170&gt;=600000,Y170&lt;700000),"R$600.000 - R$700.000",IF(AND(Y170&gt;=700000,Y170&lt;800000),"R$700.000 - R$800.000",IF(AND(Y170&gt;=800000,Y170&lt;900000),"R$800.000 - R$900.000","Superior a R$900.000")))))))))</f>
        <v>R$400.000 - R$500.000</v>
      </c>
    </row>
    <row r="171">
      <c r="A171" s="1">
        <v>151570.0</v>
      </c>
      <c r="B171" s="1" t="s">
        <v>706</v>
      </c>
      <c r="C171" s="1" t="s">
        <v>707</v>
      </c>
      <c r="D171" s="1" t="s">
        <v>28</v>
      </c>
      <c r="E171" s="2">
        <v>30000.0</v>
      </c>
      <c r="F171" s="2">
        <v>36000.0</v>
      </c>
      <c r="G171" s="1" t="s">
        <v>29</v>
      </c>
      <c r="H171" s="1" t="s">
        <v>663</v>
      </c>
      <c r="I171" s="1" t="s">
        <v>267</v>
      </c>
      <c r="J171" s="1" t="s">
        <v>60</v>
      </c>
      <c r="K171" s="3"/>
      <c r="L171" s="1" t="s">
        <v>51</v>
      </c>
      <c r="M171" s="1" t="s">
        <v>33</v>
      </c>
      <c r="N171" s="3"/>
      <c r="O171" s="1" t="s">
        <v>34</v>
      </c>
      <c r="P171" s="1" t="s">
        <v>53</v>
      </c>
      <c r="Q171" s="1" t="s">
        <v>36</v>
      </c>
      <c r="R171" s="1" t="s">
        <v>35</v>
      </c>
      <c r="S171" s="4" t="s">
        <v>63</v>
      </c>
      <c r="T171" s="1" t="s">
        <v>708</v>
      </c>
      <c r="U171" s="5">
        <f t="shared" si="100"/>
        <v>0.2</v>
      </c>
      <c r="V171" s="5">
        <f t="shared" si="101"/>
        <v>0</v>
      </c>
      <c r="W171" s="6">
        <f t="shared" si="102"/>
        <v>399900</v>
      </c>
      <c r="X171" s="6"/>
      <c r="Y171" s="6">
        <f t="shared" si="103"/>
        <v>479880</v>
      </c>
      <c r="Z171" s="3" t="str">
        <f t="shared" si="104"/>
        <v>R$400.000 - R$500.000</v>
      </c>
    </row>
    <row r="172">
      <c r="A172" s="1">
        <v>116168.0</v>
      </c>
      <c r="B172" s="1" t="s">
        <v>709</v>
      </c>
      <c r="C172" s="1" t="s">
        <v>710</v>
      </c>
      <c r="D172" s="1" t="s">
        <v>28</v>
      </c>
      <c r="E172" s="2">
        <v>37000.0</v>
      </c>
      <c r="F172" s="2">
        <v>48000.0</v>
      </c>
      <c r="G172" s="1" t="s">
        <v>29</v>
      </c>
      <c r="H172" s="1" t="s">
        <v>711</v>
      </c>
      <c r="I172" s="1" t="s">
        <v>699</v>
      </c>
      <c r="J172" s="1" t="s">
        <v>77</v>
      </c>
      <c r="K172" s="1" t="s">
        <v>68</v>
      </c>
      <c r="L172" s="1" t="s">
        <v>51</v>
      </c>
      <c r="M172" s="1" t="s">
        <v>33</v>
      </c>
      <c r="N172" s="1">
        <v>240000.0</v>
      </c>
      <c r="O172" s="1" t="s">
        <v>650</v>
      </c>
      <c r="P172" s="1" t="s">
        <v>35</v>
      </c>
      <c r="Q172" s="1" t="s">
        <v>36</v>
      </c>
      <c r="R172" s="1" t="s">
        <v>35</v>
      </c>
      <c r="S172" s="4" t="s">
        <v>63</v>
      </c>
      <c r="T172" s="1" t="s">
        <v>712</v>
      </c>
      <c r="U172" s="5">
        <f t="shared" si="100"/>
        <v>0.2972972973</v>
      </c>
      <c r="V172" s="5">
        <f t="shared" si="101"/>
        <v>6</v>
      </c>
      <c r="W172" s="6">
        <f t="shared" si="102"/>
        <v>733210</v>
      </c>
      <c r="X172" s="6" t="str">
        <f>IF(W172&lt;100000,"abaixo de R$100.000",IF(AND(W172&gt;=100000,W172&lt;200000),"R$100.000 - R$200.000",IF(AND(W172&gt;=200000,W172&lt;300000),"R$200.000 - R$300.000",IF(AND(W172&gt;=300000,W172&lt;400000),"R$300.000 - R$400.000",IF(AND(W172&gt;=400000,W172&lt;500000),"R$400.000 - R$500.000",IF(AND(W172&gt;=500000,W172&lt;600000),"R$500.000 - R$600.000",IF(AND(W172&gt;=600000,W172&lt;700000),"R$600.000 - R$700.000",IF(AND(W172&gt;=700000,W172&lt;800000),"R$700.000 - R$800.000",IF(AND(W172&gt;=800000,W172&lt;900000),"R$800.000 - R$900.000","Superior a R$900.000")))))))))</f>
        <v>R$700.000 - R$800.000</v>
      </c>
      <c r="Y172" s="6">
        <f t="shared" si="103"/>
        <v>951191.3514</v>
      </c>
      <c r="Z172" s="3" t="str">
        <f t="shared" si="104"/>
        <v>Superior a R$900.000</v>
      </c>
    </row>
    <row r="173">
      <c r="A173" s="1">
        <v>222689.0</v>
      </c>
      <c r="B173" s="1" t="s">
        <v>713</v>
      </c>
      <c r="C173" s="1" t="s">
        <v>714</v>
      </c>
      <c r="D173" s="1" t="s">
        <v>28</v>
      </c>
      <c r="E173" s="1">
        <v>0.0</v>
      </c>
      <c r="F173" s="1">
        <v>0.0</v>
      </c>
      <c r="G173" s="1" t="s">
        <v>29</v>
      </c>
      <c r="H173" s="1" t="s">
        <v>715</v>
      </c>
      <c r="I173" s="1" t="s">
        <v>255</v>
      </c>
      <c r="J173" s="1" t="s">
        <v>77</v>
      </c>
      <c r="K173" s="3"/>
      <c r="L173" s="1" t="s">
        <v>51</v>
      </c>
      <c r="M173" s="1" t="s">
        <v>52</v>
      </c>
      <c r="N173" s="6"/>
      <c r="O173" s="1" t="s">
        <v>199</v>
      </c>
      <c r="P173" s="1" t="s">
        <v>53</v>
      </c>
      <c r="Q173" s="1" t="s">
        <v>54</v>
      </c>
      <c r="R173" s="1" t="s">
        <v>35</v>
      </c>
      <c r="S173" s="4" t="s">
        <v>63</v>
      </c>
      <c r="T173" s="1" t="s">
        <v>716</v>
      </c>
      <c r="U173" s="5"/>
      <c r="V173" s="5"/>
      <c r="W173" s="6"/>
      <c r="X173" s="4" t="s">
        <v>297</v>
      </c>
      <c r="Y173" s="6"/>
      <c r="Z173" s="4" t="s">
        <v>413</v>
      </c>
    </row>
    <row r="174">
      <c r="A174" s="1">
        <v>221310.0</v>
      </c>
      <c r="B174" s="1" t="s">
        <v>717</v>
      </c>
      <c r="C174" s="1" t="s">
        <v>718</v>
      </c>
      <c r="D174" s="1" t="s">
        <v>28</v>
      </c>
      <c r="E174" s="2">
        <v>12000.0</v>
      </c>
      <c r="F174" s="2">
        <v>16000.0</v>
      </c>
      <c r="G174" s="1" t="s">
        <v>29</v>
      </c>
      <c r="H174" s="1" t="s">
        <v>719</v>
      </c>
      <c r="I174" s="1" t="s">
        <v>720</v>
      </c>
      <c r="J174" s="1" t="s">
        <v>50</v>
      </c>
      <c r="K174" s="3"/>
      <c r="L174" s="1" t="s">
        <v>51</v>
      </c>
      <c r="M174" s="1" t="s">
        <v>33</v>
      </c>
      <c r="N174" s="1">
        <v>0.0</v>
      </c>
      <c r="O174" s="1" t="s">
        <v>199</v>
      </c>
      <c r="P174" s="1" t="s">
        <v>35</v>
      </c>
      <c r="Q174" s="1" t="s">
        <v>36</v>
      </c>
      <c r="R174" s="1" t="s">
        <v>35</v>
      </c>
      <c r="S174" s="4" t="s">
        <v>63</v>
      </c>
      <c r="T174" s="1" t="s">
        <v>721</v>
      </c>
      <c r="U174" s="5">
        <f t="shared" ref="U174:U175" si="105">(F174/E174)-1</f>
        <v>0.3333333333</v>
      </c>
      <c r="V174" s="5">
        <f t="shared" ref="V174:V175" si="106">ROUNDDOWN(N174/E174,0)</f>
        <v>0</v>
      </c>
      <c r="W174" s="6">
        <f t="shared" ref="W174:W175" si="107">13.33*E174+N174</f>
        <v>159960</v>
      </c>
      <c r="X174" s="4" t="s">
        <v>297</v>
      </c>
      <c r="Y174" s="6">
        <f t="shared" ref="Y174:Y175" si="108">W174+(W174*U174)</f>
        <v>213280</v>
      </c>
      <c r="Z174" s="4" t="s">
        <v>413</v>
      </c>
    </row>
    <row r="175">
      <c r="A175" s="1">
        <v>111814.0</v>
      </c>
      <c r="B175" s="1" t="s">
        <v>722</v>
      </c>
      <c r="C175" s="1" t="s">
        <v>723</v>
      </c>
      <c r="D175" s="1" t="s">
        <v>28</v>
      </c>
      <c r="E175" s="2">
        <v>25000.0</v>
      </c>
      <c r="F175" s="2">
        <v>25000.0</v>
      </c>
      <c r="G175" s="1" t="s">
        <v>29</v>
      </c>
      <c r="H175" s="1" t="s">
        <v>724</v>
      </c>
      <c r="I175" s="1" t="s">
        <v>725</v>
      </c>
      <c r="J175" s="1" t="s">
        <v>31</v>
      </c>
      <c r="K175" s="1" t="s">
        <v>726</v>
      </c>
      <c r="L175" s="1" t="s">
        <v>32</v>
      </c>
      <c r="M175" s="1" t="s">
        <v>52</v>
      </c>
      <c r="N175" s="1">
        <v>150000.0</v>
      </c>
      <c r="O175" s="1" t="s">
        <v>199</v>
      </c>
      <c r="P175" s="1" t="s">
        <v>53</v>
      </c>
      <c r="Q175" s="1" t="s">
        <v>54</v>
      </c>
      <c r="R175" s="1" t="s">
        <v>35</v>
      </c>
      <c r="S175" s="4" t="s">
        <v>63</v>
      </c>
      <c r="T175" s="1" t="s">
        <v>727</v>
      </c>
      <c r="U175" s="5">
        <f t="shared" si="105"/>
        <v>0</v>
      </c>
      <c r="V175" s="5">
        <f t="shared" si="106"/>
        <v>6</v>
      </c>
      <c r="W175" s="6">
        <f t="shared" si="107"/>
        <v>483250</v>
      </c>
      <c r="X175" s="6" t="str">
        <f>IF(W175&lt;100000,"abaixo de R$100.000",IF(AND(W175&gt;=100000,W175&lt;200000),"R$100.000 - R$200.000",IF(AND(W175&gt;=200000,W175&lt;300000),"R$200.000 - R$300.000",IF(AND(W175&gt;=300000,W175&lt;400000),"R$300.000 - R$400.000",IF(AND(W175&gt;=400000,W175&lt;500000),"R$400.000 - R$500.000",IF(AND(W175&gt;=500000,W175&lt;600000),"R$500.000 - R$600.000",IF(AND(W175&gt;=600000,W175&lt;700000),"R$600.000 - R$700.000",IF(AND(W175&gt;=700000,W175&lt;800000),"R$700.000 - R$800.000",IF(AND(W175&gt;=800000,W175&lt;900000),"R$800.000 - R$900.000","Superior a R$900.000")))))))))</f>
        <v>R$400.000 - R$500.000</v>
      </c>
      <c r="Y175" s="6">
        <f t="shared" si="108"/>
        <v>483250</v>
      </c>
      <c r="Z175" s="3" t="str">
        <f>IF(Y175&lt;100000,"abaixo de R$100.000",IF(AND(Y175&gt;=100000,Y175&lt;200000),"R$100.000 - R$200.000",IF(AND(Y175&gt;=200000,Y175&lt;300000),"R$200.000 - R$300.000",IF(AND(Y175&gt;=300000,Y175&lt;400000),"R$300.000 - R$400.000",IF(AND(Y175&gt;=400000,Y175&lt;500000),"R$400.000 - R$500.000",IF(AND(Y175&gt;=500000,Y175&lt;600000),"R$500.000 - R$600.000",IF(AND(Y175&gt;=600000,Y175&lt;700000),"R$600.000 - R$700.000",IF(AND(Y175&gt;=700000,Y175&lt;800000),"R$700.000 - R$800.000",IF(AND(Y175&gt;=800000,Y175&lt;900000),"R$800.000 - R$900.000","Superior a R$900.000")))))))))</f>
        <v>R$400.000 - R$500.000</v>
      </c>
    </row>
    <row r="176">
      <c r="A176" s="1">
        <v>222707.0</v>
      </c>
      <c r="B176" s="1" t="s">
        <v>728</v>
      </c>
      <c r="C176" s="10">
        <v>20000.0</v>
      </c>
      <c r="D176" s="1" t="s">
        <v>28</v>
      </c>
      <c r="E176" s="1">
        <v>0.0</v>
      </c>
      <c r="F176" s="1">
        <v>0.0</v>
      </c>
      <c r="G176" s="1" t="s">
        <v>29</v>
      </c>
      <c r="H176" s="1" t="s">
        <v>729</v>
      </c>
      <c r="I176" s="1" t="s">
        <v>99</v>
      </c>
      <c r="J176" s="1" t="s">
        <v>31</v>
      </c>
      <c r="K176" s="3"/>
      <c r="L176" s="1" t="s">
        <v>61</v>
      </c>
      <c r="M176" s="1" t="s">
        <v>33</v>
      </c>
      <c r="N176" s="6"/>
      <c r="O176" s="1" t="s">
        <v>449</v>
      </c>
      <c r="P176" s="1" t="s">
        <v>53</v>
      </c>
      <c r="Q176" s="1" t="s">
        <v>36</v>
      </c>
      <c r="R176" s="1" t="s">
        <v>35</v>
      </c>
      <c r="S176" s="4" t="s">
        <v>63</v>
      </c>
      <c r="T176" s="1" t="s">
        <v>404</v>
      </c>
      <c r="U176" s="5"/>
      <c r="V176" s="5"/>
      <c r="W176" s="6"/>
      <c r="X176" s="6"/>
      <c r="Y176" s="6"/>
      <c r="Z176" s="4"/>
    </row>
    <row r="177">
      <c r="A177" s="1">
        <v>222444.0</v>
      </c>
      <c r="B177" s="1" t="s">
        <v>730</v>
      </c>
      <c r="C177" s="1" t="s">
        <v>731</v>
      </c>
      <c r="D177" s="1" t="s">
        <v>28</v>
      </c>
      <c r="E177" s="1">
        <v>0.0</v>
      </c>
      <c r="F177" s="1">
        <v>0.0</v>
      </c>
      <c r="G177" s="1" t="s">
        <v>29</v>
      </c>
      <c r="H177" s="1" t="s">
        <v>729</v>
      </c>
      <c r="I177" s="1" t="s">
        <v>732</v>
      </c>
      <c r="J177" s="1" t="s">
        <v>77</v>
      </c>
      <c r="K177" s="3"/>
      <c r="L177" s="1" t="s">
        <v>51</v>
      </c>
      <c r="M177" s="1" t="s">
        <v>52</v>
      </c>
      <c r="N177" s="3"/>
      <c r="O177" s="1" t="s">
        <v>119</v>
      </c>
      <c r="P177" s="1" t="s">
        <v>35</v>
      </c>
      <c r="Q177" s="1" t="s">
        <v>36</v>
      </c>
      <c r="R177" s="1" t="s">
        <v>35</v>
      </c>
      <c r="S177" s="4" t="s">
        <v>63</v>
      </c>
      <c r="T177" s="1" t="s">
        <v>273</v>
      </c>
      <c r="U177" s="5"/>
      <c r="V177" s="5"/>
      <c r="W177" s="6"/>
      <c r="X177" s="6"/>
      <c r="Y177" s="6"/>
      <c r="Z177" s="3"/>
    </row>
    <row r="178">
      <c r="A178" s="1">
        <v>103817.0</v>
      </c>
      <c r="B178" s="1" t="s">
        <v>733</v>
      </c>
      <c r="C178" s="1" t="s">
        <v>734</v>
      </c>
      <c r="D178" s="1" t="s">
        <v>28</v>
      </c>
      <c r="E178" s="2">
        <v>25000.0</v>
      </c>
      <c r="F178" s="2">
        <v>35000.0</v>
      </c>
      <c r="G178" s="1" t="s">
        <v>29</v>
      </c>
      <c r="H178" s="1" t="s">
        <v>729</v>
      </c>
      <c r="I178" s="1" t="s">
        <v>49</v>
      </c>
      <c r="J178" s="1" t="s">
        <v>50</v>
      </c>
      <c r="K178" s="1" t="s">
        <v>239</v>
      </c>
      <c r="L178" s="1" t="s">
        <v>32</v>
      </c>
      <c r="M178" s="1" t="s">
        <v>33</v>
      </c>
      <c r="N178" s="1">
        <v>10000.0</v>
      </c>
      <c r="O178" s="1" t="s">
        <v>70</v>
      </c>
      <c r="P178" s="1" t="s">
        <v>53</v>
      </c>
      <c r="Q178" s="1" t="s">
        <v>54</v>
      </c>
      <c r="R178" s="1" t="s">
        <v>35</v>
      </c>
      <c r="S178" s="4" t="s">
        <v>63</v>
      </c>
      <c r="T178" s="1" t="s">
        <v>191</v>
      </c>
      <c r="U178" s="5">
        <f>(F178/E178)-1</f>
        <v>0.4</v>
      </c>
      <c r="V178" s="5">
        <f>ROUNDDOWN(N178/E178,0)</f>
        <v>0</v>
      </c>
      <c r="W178" s="6">
        <f>13.33*E178+N178</f>
        <v>343250</v>
      </c>
      <c r="X178" s="6"/>
      <c r="Y178" s="6">
        <f>W178+(W178*U178)</f>
        <v>480550</v>
      </c>
      <c r="Z178" s="3" t="str">
        <f>IF(Y178&lt;100000,"abaixo de R$100.000",IF(AND(Y178&gt;=100000,Y178&lt;200000),"R$100.000 - R$200.000",IF(AND(Y178&gt;=200000,Y178&lt;300000),"R$200.000 - R$300.000",IF(AND(Y178&gt;=300000,Y178&lt;400000),"R$300.000 - R$400.000",IF(AND(Y178&gt;=400000,Y178&lt;500000),"R$400.000 - R$500.000",IF(AND(Y178&gt;=500000,Y178&lt;600000),"R$500.000 - R$600.000",IF(AND(Y178&gt;=600000,Y178&lt;700000),"R$600.000 - R$700.000",IF(AND(Y178&gt;=700000,Y178&lt;800000),"R$700.000 - R$800.000",IF(AND(Y178&gt;=800000,Y178&lt;900000),"R$800.000 - R$900.000","Superior a R$900.000")))))))))</f>
        <v>R$400.000 - R$500.000</v>
      </c>
    </row>
    <row r="179">
      <c r="A179" s="1">
        <v>104060.0</v>
      </c>
      <c r="B179" s="1" t="s">
        <v>735</v>
      </c>
      <c r="C179" s="1" t="s">
        <v>736</v>
      </c>
      <c r="D179" s="1" t="s">
        <v>28</v>
      </c>
      <c r="E179" s="1">
        <v>0.0</v>
      </c>
      <c r="F179" s="1">
        <v>0.0</v>
      </c>
      <c r="G179" s="1" t="s">
        <v>29</v>
      </c>
      <c r="H179" s="1" t="s">
        <v>737</v>
      </c>
      <c r="I179" s="1" t="s">
        <v>738</v>
      </c>
      <c r="J179" s="1" t="s">
        <v>77</v>
      </c>
      <c r="K179" s="3"/>
      <c r="L179" s="1" t="s">
        <v>51</v>
      </c>
      <c r="M179" s="1" t="s">
        <v>33</v>
      </c>
      <c r="N179" s="3"/>
      <c r="O179" s="1" t="s">
        <v>119</v>
      </c>
      <c r="P179" s="1" t="s">
        <v>53</v>
      </c>
      <c r="Q179" s="1" t="s">
        <v>54</v>
      </c>
      <c r="R179" s="1" t="s">
        <v>35</v>
      </c>
      <c r="S179" s="4" t="s">
        <v>63</v>
      </c>
      <c r="T179" s="1" t="s">
        <v>64</v>
      </c>
      <c r="U179" s="5"/>
      <c r="V179" s="5"/>
      <c r="W179" s="6"/>
      <c r="X179" s="6"/>
      <c r="Y179" s="6"/>
      <c r="Z179" s="3"/>
    </row>
    <row r="180">
      <c r="A180" s="1">
        <v>222662.0</v>
      </c>
      <c r="B180" s="1" t="s">
        <v>739</v>
      </c>
      <c r="C180" s="1">
        <v>18000.0</v>
      </c>
      <c r="D180" s="1" t="s">
        <v>28</v>
      </c>
      <c r="E180" s="2">
        <v>18000.0</v>
      </c>
      <c r="F180" s="2">
        <v>20000.0</v>
      </c>
      <c r="G180" s="1" t="s">
        <v>29</v>
      </c>
      <c r="H180" s="1" t="s">
        <v>740</v>
      </c>
      <c r="I180" s="1" t="s">
        <v>99</v>
      </c>
      <c r="J180" s="1" t="s">
        <v>31</v>
      </c>
      <c r="K180" s="3"/>
      <c r="L180" s="1" t="s">
        <v>32</v>
      </c>
      <c r="M180" s="1" t="s">
        <v>33</v>
      </c>
      <c r="N180" s="1">
        <v>10000.0</v>
      </c>
      <c r="O180" s="1" t="s">
        <v>171</v>
      </c>
      <c r="P180" s="1" t="s">
        <v>35</v>
      </c>
      <c r="Q180" s="1" t="s">
        <v>36</v>
      </c>
      <c r="R180" s="1" t="s">
        <v>35</v>
      </c>
      <c r="S180" s="4" t="s">
        <v>63</v>
      </c>
      <c r="T180" s="1" t="s">
        <v>741</v>
      </c>
      <c r="U180" s="5">
        <f t="shared" ref="U180:U183" si="109">(F180/E180)-1</f>
        <v>0.1111111111</v>
      </c>
      <c r="V180" s="5">
        <f t="shared" ref="V180:V183" si="110">ROUNDDOWN(N180/E180,0)</f>
        <v>0</v>
      </c>
      <c r="W180" s="6">
        <f t="shared" ref="W180:W183" si="111">13.33*E180+N180</f>
        <v>249940</v>
      </c>
      <c r="X180" s="6"/>
      <c r="Y180" s="6">
        <f t="shared" ref="Y180:Y183" si="112">W180+(W180*U180)</f>
        <v>277711.1111</v>
      </c>
      <c r="Z180" s="3"/>
    </row>
    <row r="181">
      <c r="A181" s="1">
        <v>107372.0</v>
      </c>
      <c r="B181" s="1" t="s">
        <v>742</v>
      </c>
      <c r="C181" s="1" t="s">
        <v>743</v>
      </c>
      <c r="D181" s="1" t="s">
        <v>28</v>
      </c>
      <c r="E181" s="2">
        <v>25000.0</v>
      </c>
      <c r="F181" s="2">
        <v>25000.0</v>
      </c>
      <c r="G181" s="1" t="s">
        <v>29</v>
      </c>
      <c r="H181" s="1" t="s">
        <v>740</v>
      </c>
      <c r="I181" s="1" t="s">
        <v>212</v>
      </c>
      <c r="J181" s="1" t="s">
        <v>60</v>
      </c>
      <c r="K181" s="3"/>
      <c r="L181" s="1" t="s">
        <v>51</v>
      </c>
      <c r="M181" s="1" t="s">
        <v>52</v>
      </c>
      <c r="N181" s="1">
        <v>25000.0</v>
      </c>
      <c r="O181" s="1" t="s">
        <v>178</v>
      </c>
      <c r="P181" s="1" t="s">
        <v>53</v>
      </c>
      <c r="Q181" s="1" t="s">
        <v>36</v>
      </c>
      <c r="R181" s="1" t="s">
        <v>35</v>
      </c>
      <c r="S181" s="4" t="s">
        <v>63</v>
      </c>
      <c r="T181" s="1" t="s">
        <v>744</v>
      </c>
      <c r="U181" s="5">
        <f t="shared" si="109"/>
        <v>0</v>
      </c>
      <c r="V181" s="5">
        <f t="shared" si="110"/>
        <v>1</v>
      </c>
      <c r="W181" s="6">
        <f t="shared" si="111"/>
        <v>358250</v>
      </c>
      <c r="X181" s="6"/>
      <c r="Y181" s="6">
        <f t="shared" si="112"/>
        <v>358250</v>
      </c>
      <c r="Z181" s="3"/>
    </row>
    <row r="182">
      <c r="A182" s="1">
        <v>170704.0</v>
      </c>
      <c r="B182" s="1" t="s">
        <v>745</v>
      </c>
      <c r="C182" s="1" t="s">
        <v>746</v>
      </c>
      <c r="D182" s="1" t="s">
        <v>28</v>
      </c>
      <c r="E182" s="2">
        <v>70000.0</v>
      </c>
      <c r="F182" s="2">
        <v>90000.0</v>
      </c>
      <c r="G182" s="1" t="s">
        <v>29</v>
      </c>
      <c r="I182" s="1" t="s">
        <v>747</v>
      </c>
      <c r="J182" s="1" t="s">
        <v>77</v>
      </c>
      <c r="K182" s="3"/>
      <c r="L182" s="1" t="s">
        <v>32</v>
      </c>
      <c r="M182" s="1" t="s">
        <v>33</v>
      </c>
      <c r="N182" s="1">
        <v>200000.0</v>
      </c>
      <c r="O182" s="1" t="s">
        <v>62</v>
      </c>
      <c r="P182" s="1" t="s">
        <v>35</v>
      </c>
      <c r="Q182" s="1" t="s">
        <v>36</v>
      </c>
      <c r="R182" s="1" t="s">
        <v>35</v>
      </c>
      <c r="S182" s="4" t="s">
        <v>381</v>
      </c>
      <c r="T182" s="1" t="s">
        <v>748</v>
      </c>
      <c r="U182" s="5">
        <f t="shared" si="109"/>
        <v>0.2857142857</v>
      </c>
      <c r="V182" s="5">
        <f t="shared" si="110"/>
        <v>2</v>
      </c>
      <c r="W182" s="6">
        <f t="shared" si="111"/>
        <v>1133100</v>
      </c>
      <c r="X182" s="6" t="str">
        <f>IF(W182&lt;100000,"abaixo de R$100.000",IF(AND(W182&gt;=100000,W182&lt;200000),"R$100.000 - R$200.000",IF(AND(W182&gt;=200000,W182&lt;300000),"R$200.000 - R$300.000",IF(AND(W182&gt;=300000,W182&lt;400000),"R$300.000 - R$400.000",IF(AND(W182&gt;=400000,W182&lt;500000),"R$400.000 - R$500.000",IF(AND(W182&gt;=500000,W182&lt;600000),"R$500.000 - R$600.000",IF(AND(W182&gt;=600000,W182&lt;700000),"R$600.000 - R$700.000",IF(AND(W182&gt;=700000,W182&lt;800000),"R$700.000 - R$800.000",IF(AND(W182&gt;=800000,W182&lt;900000),"R$800.000 - R$900.000","Superior a R$900.000")))))))))</f>
        <v>Superior a R$900.000</v>
      </c>
      <c r="Y182" s="6">
        <f t="shared" si="112"/>
        <v>1456842.857</v>
      </c>
      <c r="Z182" s="3" t="str">
        <f>IF(Y182&lt;100000,"abaixo de R$100.000",IF(AND(Y182&gt;=100000,Y182&lt;200000),"R$100.000 - R$200.000",IF(AND(Y182&gt;=200000,Y182&lt;300000),"R$200.000 - R$300.000",IF(AND(Y182&gt;=300000,Y182&lt;400000),"R$300.000 - R$400.000",IF(AND(Y182&gt;=400000,Y182&lt;500000),"R$400.000 - R$500.000",IF(AND(Y182&gt;=500000,Y182&lt;600000),"R$500.000 - R$600.000",IF(AND(Y182&gt;=600000,Y182&lt;700000),"R$600.000 - R$700.000",IF(AND(Y182&gt;=700000,Y182&lt;800000),"R$700.000 - R$800.000",IF(AND(Y182&gt;=800000,Y182&lt;900000),"R$800.000 - R$900.000","Superior a R$900.000")))))))))</f>
        <v>Superior a R$900.000</v>
      </c>
    </row>
    <row r="183">
      <c r="A183" s="1">
        <v>222726.0</v>
      </c>
      <c r="B183" s="1" t="s">
        <v>749</v>
      </c>
      <c r="C183" s="1">
        <v>12000.0</v>
      </c>
      <c r="D183" s="1" t="s">
        <v>28</v>
      </c>
      <c r="E183" s="2">
        <v>12000.0</v>
      </c>
      <c r="F183" s="2">
        <v>17000.0</v>
      </c>
      <c r="G183" s="1" t="s">
        <v>29</v>
      </c>
      <c r="H183" s="1" t="s">
        <v>750</v>
      </c>
      <c r="I183" s="1" t="s">
        <v>118</v>
      </c>
      <c r="J183" s="1" t="s">
        <v>77</v>
      </c>
      <c r="K183" s="3"/>
      <c r="L183" s="1" t="s">
        <v>51</v>
      </c>
      <c r="M183" s="1" t="s">
        <v>33</v>
      </c>
      <c r="N183" s="1">
        <v>0.0</v>
      </c>
      <c r="O183" s="1" t="s">
        <v>78</v>
      </c>
      <c r="P183" s="1" t="s">
        <v>35</v>
      </c>
      <c r="Q183" s="1" t="s">
        <v>54</v>
      </c>
      <c r="R183" s="1" t="s">
        <v>35</v>
      </c>
      <c r="S183" s="4" t="s">
        <v>63</v>
      </c>
      <c r="T183" s="1" t="s">
        <v>244</v>
      </c>
      <c r="U183" s="5">
        <f t="shared" si="109"/>
        <v>0.4166666667</v>
      </c>
      <c r="V183" s="5">
        <f t="shared" si="110"/>
        <v>0</v>
      </c>
      <c r="W183" s="6">
        <f t="shared" si="111"/>
        <v>159960</v>
      </c>
      <c r="X183" s="6"/>
      <c r="Y183" s="6">
        <f t="shared" si="112"/>
        <v>226610</v>
      </c>
      <c r="Z183" s="3"/>
    </row>
    <row r="184">
      <c r="A184" s="1">
        <v>222591.0</v>
      </c>
      <c r="B184" s="1" t="s">
        <v>751</v>
      </c>
      <c r="C184" s="1" t="s">
        <v>752</v>
      </c>
      <c r="D184" s="1" t="s">
        <v>28</v>
      </c>
      <c r="E184" s="1">
        <v>0.0</v>
      </c>
      <c r="F184" s="1">
        <v>0.0</v>
      </c>
      <c r="G184" s="1" t="s">
        <v>29</v>
      </c>
      <c r="H184" s="1" t="s">
        <v>753</v>
      </c>
      <c r="I184" s="1" t="s">
        <v>212</v>
      </c>
      <c r="J184" s="1" t="s">
        <v>60</v>
      </c>
      <c r="K184" s="3"/>
      <c r="L184" s="1" t="s">
        <v>51</v>
      </c>
      <c r="M184" s="1" t="s">
        <v>33</v>
      </c>
      <c r="N184" s="6"/>
      <c r="O184" s="1" t="s">
        <v>119</v>
      </c>
      <c r="P184" s="1" t="s">
        <v>53</v>
      </c>
      <c r="Q184" s="1" t="s">
        <v>54</v>
      </c>
      <c r="R184" s="1" t="s">
        <v>35</v>
      </c>
      <c r="S184" s="4" t="s">
        <v>63</v>
      </c>
      <c r="T184" s="1" t="s">
        <v>754</v>
      </c>
      <c r="U184" s="5"/>
      <c r="V184" s="5"/>
      <c r="W184" s="6"/>
      <c r="X184" s="6"/>
      <c r="Y184" s="6"/>
      <c r="Z184" s="3"/>
    </row>
    <row r="185">
      <c r="A185" s="1">
        <v>222860.0</v>
      </c>
      <c r="B185" s="1" t="s">
        <v>755</v>
      </c>
      <c r="C185" s="1" t="s">
        <v>756</v>
      </c>
      <c r="D185" s="1" t="s">
        <v>28</v>
      </c>
      <c r="E185" s="1">
        <v>0.0</v>
      </c>
      <c r="F185" s="1">
        <v>0.0</v>
      </c>
      <c r="G185" s="1" t="s">
        <v>29</v>
      </c>
      <c r="I185" s="1" t="s">
        <v>757</v>
      </c>
      <c r="J185" s="1" t="s">
        <v>50</v>
      </c>
      <c r="K185" s="3"/>
      <c r="L185" s="1" t="s">
        <v>61</v>
      </c>
      <c r="M185" s="1" t="s">
        <v>52</v>
      </c>
      <c r="N185" s="6"/>
      <c r="O185" s="1" t="s">
        <v>44</v>
      </c>
      <c r="P185" s="1" t="s">
        <v>53</v>
      </c>
      <c r="Q185" s="1" t="s">
        <v>172</v>
      </c>
      <c r="R185" s="1" t="s">
        <v>35</v>
      </c>
      <c r="S185" s="4" t="s">
        <v>63</v>
      </c>
      <c r="T185" s="1" t="s">
        <v>758</v>
      </c>
      <c r="U185" s="5"/>
      <c r="V185" s="5"/>
      <c r="W185" s="6"/>
      <c r="X185" s="6"/>
      <c r="Y185" s="6"/>
      <c r="Z185" s="3"/>
    </row>
    <row r="186">
      <c r="A186" s="1">
        <v>222498.0</v>
      </c>
      <c r="B186" s="1" t="s">
        <v>759</v>
      </c>
      <c r="C186" s="1" t="s">
        <v>760</v>
      </c>
      <c r="D186" s="1" t="s">
        <v>28</v>
      </c>
      <c r="E186" s="1">
        <v>0.0</v>
      </c>
      <c r="F186" s="1">
        <v>0.0</v>
      </c>
      <c r="G186" s="1" t="s">
        <v>29</v>
      </c>
      <c r="H186" s="1" t="s">
        <v>761</v>
      </c>
      <c r="I186" s="1" t="s">
        <v>212</v>
      </c>
      <c r="J186" s="1" t="s">
        <v>60</v>
      </c>
      <c r="K186" s="3"/>
      <c r="L186" s="1" t="s">
        <v>51</v>
      </c>
      <c r="M186" s="1" t="s">
        <v>33</v>
      </c>
      <c r="N186" s="3"/>
      <c r="O186" s="1" t="s">
        <v>199</v>
      </c>
      <c r="P186" s="1" t="s">
        <v>53</v>
      </c>
      <c r="Q186" s="1" t="s">
        <v>172</v>
      </c>
      <c r="R186" s="1" t="s">
        <v>35</v>
      </c>
      <c r="S186" s="4" t="s">
        <v>63</v>
      </c>
      <c r="T186" s="1" t="s">
        <v>762</v>
      </c>
      <c r="U186" s="5"/>
      <c r="V186" s="5"/>
      <c r="W186" s="6"/>
      <c r="X186" s="6"/>
      <c r="Y186" s="6"/>
      <c r="Z186" s="3"/>
    </row>
    <row r="187">
      <c r="A187" s="1">
        <v>103803.0</v>
      </c>
      <c r="B187" s="1" t="s">
        <v>763</v>
      </c>
      <c r="C187" s="1" t="s">
        <v>764</v>
      </c>
      <c r="D187" s="1" t="s">
        <v>28</v>
      </c>
      <c r="E187" s="2">
        <v>18000.0</v>
      </c>
      <c r="F187" s="2">
        <v>24000.0</v>
      </c>
      <c r="G187" s="1" t="s">
        <v>29</v>
      </c>
      <c r="H187" s="1" t="s">
        <v>765</v>
      </c>
      <c r="I187" s="1" t="s">
        <v>766</v>
      </c>
      <c r="J187" s="1" t="s">
        <v>77</v>
      </c>
      <c r="K187" s="3"/>
      <c r="L187" s="1" t="s">
        <v>32</v>
      </c>
      <c r="M187" s="1" t="s">
        <v>33</v>
      </c>
      <c r="N187" s="1">
        <v>100000.0</v>
      </c>
      <c r="O187" s="1" t="s">
        <v>94</v>
      </c>
      <c r="P187" s="1" t="s">
        <v>53</v>
      </c>
      <c r="Q187" s="1" t="s">
        <v>172</v>
      </c>
      <c r="R187" s="1" t="s">
        <v>35</v>
      </c>
      <c r="S187" s="4" t="s">
        <v>63</v>
      </c>
      <c r="T187" s="1" t="s">
        <v>570</v>
      </c>
      <c r="U187" s="5">
        <f t="shared" ref="U187:U191" si="113">(F187/E187)-1</f>
        <v>0.3333333333</v>
      </c>
      <c r="V187" s="5">
        <f t="shared" ref="V187:V191" si="114">ROUNDDOWN(N187/E187,0)</f>
        <v>5</v>
      </c>
      <c r="W187" s="6">
        <f t="shared" ref="W187:W191" si="115">13.33*E187+N187</f>
        <v>339940</v>
      </c>
      <c r="X187" s="6"/>
      <c r="Y187" s="6">
        <f t="shared" ref="Y187:Y191" si="116">W187+(W187*U187)</f>
        <v>453253.3333</v>
      </c>
      <c r="Z187" s="3" t="str">
        <f>IF(Y187&lt;100000,"abaixo de R$100.000",IF(AND(Y187&gt;=100000,Y187&lt;200000),"R$100.000 - R$200.000",IF(AND(Y187&gt;=200000,Y187&lt;300000),"R$200.000 - R$300.000",IF(AND(Y187&gt;=300000,Y187&lt;400000),"R$300.000 - R$400.000",IF(AND(Y187&gt;=400000,Y187&lt;500000),"R$400.000 - R$500.000",IF(AND(Y187&gt;=500000,Y187&lt;600000),"R$500.000 - R$600.000",IF(AND(Y187&gt;=600000,Y187&lt;700000),"R$600.000 - R$700.000",IF(AND(Y187&gt;=700000,Y187&lt;800000),"R$700.000 - R$800.000",IF(AND(Y187&gt;=800000,Y187&lt;900000),"R$800.000 - R$900.000","Superior a R$900.000")))))))))</f>
        <v>R$400.000 - R$500.000</v>
      </c>
    </row>
    <row r="188">
      <c r="A188" s="1">
        <v>222682.0</v>
      </c>
      <c r="B188" s="1" t="s">
        <v>767</v>
      </c>
      <c r="C188" s="1" t="s">
        <v>768</v>
      </c>
      <c r="D188" s="1" t="s">
        <v>28</v>
      </c>
      <c r="E188" s="2">
        <v>15000.0</v>
      </c>
      <c r="F188" s="2">
        <v>20000.0</v>
      </c>
      <c r="G188" s="1" t="s">
        <v>29</v>
      </c>
      <c r="H188" s="1" t="s">
        <v>769</v>
      </c>
      <c r="I188" s="1" t="s">
        <v>255</v>
      </c>
      <c r="J188" s="1" t="s">
        <v>77</v>
      </c>
      <c r="K188" s="3"/>
      <c r="L188" s="1" t="s">
        <v>32</v>
      </c>
      <c r="M188" s="1" t="s">
        <v>52</v>
      </c>
      <c r="N188" s="1">
        <v>0.0</v>
      </c>
      <c r="O188" s="1" t="s">
        <v>34</v>
      </c>
      <c r="P188" s="1" t="s">
        <v>35</v>
      </c>
      <c r="Q188" s="1" t="s">
        <v>36</v>
      </c>
      <c r="R188" s="1" t="s">
        <v>35</v>
      </c>
      <c r="S188" s="4" t="s">
        <v>63</v>
      </c>
      <c r="T188" s="1" t="s">
        <v>770</v>
      </c>
      <c r="U188" s="5">
        <f t="shared" si="113"/>
        <v>0.3333333333</v>
      </c>
      <c r="V188" s="5">
        <f t="shared" si="114"/>
        <v>0</v>
      </c>
      <c r="W188" s="6">
        <f t="shared" si="115"/>
        <v>199950</v>
      </c>
      <c r="X188" s="6"/>
      <c r="Y188" s="6">
        <f t="shared" si="116"/>
        <v>266600</v>
      </c>
      <c r="Z188" s="3"/>
    </row>
    <row r="189">
      <c r="A189" s="1">
        <v>104053.0</v>
      </c>
      <c r="B189" s="1" t="s">
        <v>771</v>
      </c>
      <c r="C189" s="1" t="s">
        <v>772</v>
      </c>
      <c r="D189" s="1" t="s">
        <v>28</v>
      </c>
      <c r="E189" s="2">
        <v>32000.0</v>
      </c>
      <c r="F189" s="2">
        <f>E189*1.15</f>
        <v>36800</v>
      </c>
      <c r="G189" s="1" t="s">
        <v>29</v>
      </c>
      <c r="H189" s="1" t="s">
        <v>773</v>
      </c>
      <c r="I189" s="1" t="s">
        <v>774</v>
      </c>
      <c r="J189" s="1" t="s">
        <v>60</v>
      </c>
      <c r="K189" s="3"/>
      <c r="L189" s="1" t="s">
        <v>32</v>
      </c>
      <c r="M189" s="1" t="s">
        <v>33</v>
      </c>
      <c r="N189" s="1">
        <v>0.0</v>
      </c>
      <c r="O189" s="1" t="s">
        <v>70</v>
      </c>
      <c r="P189" s="1" t="s">
        <v>53</v>
      </c>
      <c r="Q189" s="1" t="s">
        <v>36</v>
      </c>
      <c r="R189" s="1" t="s">
        <v>35</v>
      </c>
      <c r="S189" s="4" t="s">
        <v>63</v>
      </c>
      <c r="T189" s="1" t="s">
        <v>775</v>
      </c>
      <c r="U189" s="5">
        <f t="shared" si="113"/>
        <v>0.15</v>
      </c>
      <c r="V189" s="5">
        <f t="shared" si="114"/>
        <v>0</v>
      </c>
      <c r="W189" s="6">
        <f t="shared" si="115"/>
        <v>426560</v>
      </c>
      <c r="X189" s="6" t="str">
        <f t="shared" ref="X189:X191" si="117">IF(W189&lt;100000,"abaixo de R$100.000",IF(AND(W189&gt;=100000,W189&lt;200000),"R$100.000 - R$200.000",IF(AND(W189&gt;=200000,W189&lt;300000),"R$200.000 - R$300.000",IF(AND(W189&gt;=300000,W189&lt;400000),"R$300.000 - R$400.000",IF(AND(W189&gt;=400000,W189&lt;500000),"R$400.000 - R$500.000",IF(AND(W189&gt;=500000,W189&lt;600000),"R$500.000 - R$600.000",IF(AND(W189&gt;=600000,W189&lt;700000),"R$600.000 - R$700.000",IF(AND(W189&gt;=700000,W189&lt;800000),"R$700.000 - R$800.000",IF(AND(W189&gt;=800000,W189&lt;900000),"R$800.000 - R$900.000","Superior a R$900.000")))))))))</f>
        <v>R$400.000 - R$500.000</v>
      </c>
      <c r="Y189" s="6">
        <f t="shared" si="116"/>
        <v>490544</v>
      </c>
      <c r="Z189" s="3"/>
    </row>
    <row r="190">
      <c r="A190" s="1">
        <v>132697.0</v>
      </c>
      <c r="B190" s="1" t="s">
        <v>776</v>
      </c>
      <c r="C190" s="1" t="s">
        <v>777</v>
      </c>
      <c r="D190" s="1" t="s">
        <v>28</v>
      </c>
      <c r="E190" s="2">
        <v>24900.0</v>
      </c>
      <c r="F190" s="2">
        <v>33000.0</v>
      </c>
      <c r="G190" s="1" t="s">
        <v>29</v>
      </c>
      <c r="H190" s="1" t="s">
        <v>778</v>
      </c>
      <c r="I190" s="1" t="s">
        <v>779</v>
      </c>
      <c r="J190" s="1" t="s">
        <v>60</v>
      </c>
      <c r="K190" s="1" t="s">
        <v>68</v>
      </c>
      <c r="L190" s="1" t="s">
        <v>51</v>
      </c>
      <c r="M190" s="1" t="s">
        <v>33</v>
      </c>
      <c r="N190" s="1">
        <v>70000.0</v>
      </c>
      <c r="O190" s="1" t="s">
        <v>34</v>
      </c>
      <c r="P190" s="1" t="s">
        <v>53</v>
      </c>
      <c r="Q190" s="1" t="s">
        <v>36</v>
      </c>
      <c r="R190" s="1" t="s">
        <v>53</v>
      </c>
      <c r="S190" s="4" t="s">
        <v>63</v>
      </c>
      <c r="T190" s="1" t="s">
        <v>780</v>
      </c>
      <c r="U190" s="5">
        <f t="shared" si="113"/>
        <v>0.3253012048</v>
      </c>
      <c r="V190" s="5">
        <f t="shared" si="114"/>
        <v>2</v>
      </c>
      <c r="W190" s="6">
        <f t="shared" si="115"/>
        <v>401917</v>
      </c>
      <c r="X190" s="6" t="str">
        <f t="shared" si="117"/>
        <v>R$400.000 - R$500.000</v>
      </c>
      <c r="Y190" s="6">
        <f t="shared" si="116"/>
        <v>532661.0843</v>
      </c>
      <c r="Z190" s="3" t="str">
        <f t="shared" ref="Z190:Z191" si="118">IF(Y190&lt;100000,"abaixo de R$100.000",IF(AND(Y190&gt;=100000,Y190&lt;200000),"R$100.000 - R$200.000",IF(AND(Y190&gt;=200000,Y190&lt;300000),"R$200.000 - R$300.000",IF(AND(Y190&gt;=300000,Y190&lt;400000),"R$300.000 - R$400.000",IF(AND(Y190&gt;=400000,Y190&lt;500000),"R$400.000 - R$500.000",IF(AND(Y190&gt;=500000,Y190&lt;600000),"R$500.000 - R$600.000",IF(AND(Y190&gt;=600000,Y190&lt;700000),"R$600.000 - R$700.000",IF(AND(Y190&gt;=700000,Y190&lt;800000),"R$700.000 - R$800.000",IF(AND(Y190&gt;=800000,Y190&lt;900000),"R$800.000 - R$900.000","Superior a R$900.000")))))))))</f>
        <v>R$500.000 - R$600.000</v>
      </c>
    </row>
    <row r="191">
      <c r="A191" s="1">
        <v>221811.0</v>
      </c>
      <c r="B191" s="1" t="s">
        <v>781</v>
      </c>
      <c r="C191" s="1" t="s">
        <v>782</v>
      </c>
      <c r="D191" s="1" t="s">
        <v>28</v>
      </c>
      <c r="E191" s="2">
        <v>34986.0</v>
      </c>
      <c r="F191" s="2">
        <v>40000.0</v>
      </c>
      <c r="G191" s="1" t="s">
        <v>29</v>
      </c>
      <c r="H191" s="1" t="s">
        <v>778</v>
      </c>
      <c r="I191" s="1" t="s">
        <v>783</v>
      </c>
      <c r="J191" s="1" t="s">
        <v>31</v>
      </c>
      <c r="K191" s="3"/>
      <c r="L191" s="1" t="s">
        <v>32</v>
      </c>
      <c r="M191" s="1" t="s">
        <v>33</v>
      </c>
      <c r="N191" s="1">
        <v>100000.0</v>
      </c>
      <c r="O191" s="1" t="s">
        <v>199</v>
      </c>
      <c r="P191" s="1" t="s">
        <v>53</v>
      </c>
      <c r="Q191" s="1" t="s">
        <v>36</v>
      </c>
      <c r="R191" s="1" t="s">
        <v>35</v>
      </c>
      <c r="S191" s="4" t="s">
        <v>37</v>
      </c>
      <c r="T191" s="1" t="s">
        <v>784</v>
      </c>
      <c r="U191" s="5">
        <f t="shared" si="113"/>
        <v>0.1433144686</v>
      </c>
      <c r="V191" s="5">
        <f t="shared" si="114"/>
        <v>2</v>
      </c>
      <c r="W191" s="6">
        <f t="shared" si="115"/>
        <v>566363.38</v>
      </c>
      <c r="X191" s="6" t="str">
        <f t="shared" si="117"/>
        <v>R$500.000 - R$600.000</v>
      </c>
      <c r="Y191" s="6">
        <f t="shared" si="116"/>
        <v>647531.4469</v>
      </c>
      <c r="Z191" s="3" t="str">
        <f t="shared" si="118"/>
        <v>R$600.000 - R$700.000</v>
      </c>
    </row>
    <row r="192">
      <c r="A192" s="1">
        <v>178337.0</v>
      </c>
      <c r="B192" s="1" t="s">
        <v>785</v>
      </c>
      <c r="C192" s="1" t="s">
        <v>786</v>
      </c>
      <c r="D192" s="1" t="s">
        <v>28</v>
      </c>
      <c r="E192" s="1">
        <v>0.0</v>
      </c>
      <c r="F192" s="1">
        <v>0.0</v>
      </c>
      <c r="G192" s="1" t="s">
        <v>29</v>
      </c>
      <c r="H192" s="1" t="s">
        <v>778</v>
      </c>
      <c r="I192" s="1" t="s">
        <v>31</v>
      </c>
      <c r="J192" s="1" t="s">
        <v>31</v>
      </c>
      <c r="K192" s="3"/>
      <c r="L192" s="1" t="s">
        <v>32</v>
      </c>
      <c r="M192" s="1" t="s">
        <v>52</v>
      </c>
      <c r="N192" s="8"/>
      <c r="O192" s="1" t="s">
        <v>62</v>
      </c>
      <c r="P192" s="1" t="s">
        <v>35</v>
      </c>
      <c r="Q192" s="1" t="s">
        <v>36</v>
      </c>
      <c r="R192" s="1" t="s">
        <v>35</v>
      </c>
      <c r="S192" s="4" t="s">
        <v>37</v>
      </c>
      <c r="T192" s="1" t="s">
        <v>787</v>
      </c>
      <c r="U192" s="5"/>
      <c r="V192" s="5"/>
      <c r="W192" s="6"/>
      <c r="X192" s="6"/>
      <c r="Y192" s="6"/>
      <c r="Z192" s="3"/>
    </row>
    <row r="193">
      <c r="A193" s="1">
        <v>212307.0</v>
      </c>
      <c r="B193" s="1" t="s">
        <v>788</v>
      </c>
      <c r="C193" s="1" t="s">
        <v>789</v>
      </c>
      <c r="D193" s="1" t="s">
        <v>28</v>
      </c>
      <c r="E193" s="1">
        <v>0.0</v>
      </c>
      <c r="F193" s="1">
        <v>0.0</v>
      </c>
      <c r="G193" s="1" t="s">
        <v>29</v>
      </c>
      <c r="H193" s="1" t="s">
        <v>790</v>
      </c>
      <c r="I193" s="1" t="s">
        <v>791</v>
      </c>
      <c r="J193" s="1" t="s">
        <v>77</v>
      </c>
      <c r="K193" s="3"/>
      <c r="L193" s="1" t="s">
        <v>51</v>
      </c>
      <c r="M193" s="1" t="s">
        <v>52</v>
      </c>
      <c r="N193" s="3"/>
      <c r="O193" s="1" t="s">
        <v>78</v>
      </c>
      <c r="P193" s="1" t="s">
        <v>35</v>
      </c>
      <c r="Q193" s="1" t="s">
        <v>36</v>
      </c>
      <c r="R193" s="1" t="s">
        <v>35</v>
      </c>
      <c r="S193" s="4" t="s">
        <v>37</v>
      </c>
      <c r="T193" s="1" t="s">
        <v>792</v>
      </c>
      <c r="U193" s="5"/>
      <c r="V193" s="5"/>
      <c r="W193" s="6"/>
      <c r="X193" s="6"/>
      <c r="Y193" s="6"/>
      <c r="Z193" s="3"/>
    </row>
    <row r="194">
      <c r="A194" s="1">
        <v>222275.0</v>
      </c>
      <c r="B194" s="1" t="s">
        <v>793</v>
      </c>
      <c r="C194" s="1" t="s">
        <v>197</v>
      </c>
      <c r="D194" s="1" t="s">
        <v>28</v>
      </c>
      <c r="E194" s="1">
        <v>0.0</v>
      </c>
      <c r="F194" s="1">
        <v>0.0</v>
      </c>
      <c r="G194" s="1" t="s">
        <v>29</v>
      </c>
      <c r="H194" s="1" t="s">
        <v>790</v>
      </c>
      <c r="I194" s="1" t="s">
        <v>212</v>
      </c>
      <c r="J194" s="1" t="s">
        <v>60</v>
      </c>
      <c r="K194" s="3"/>
      <c r="L194" s="1" t="s">
        <v>51</v>
      </c>
      <c r="M194" s="1" t="s">
        <v>52</v>
      </c>
      <c r="N194" s="3"/>
      <c r="O194" s="1" t="s">
        <v>199</v>
      </c>
      <c r="P194" s="1" t="s">
        <v>35</v>
      </c>
      <c r="Q194" s="1" t="s">
        <v>36</v>
      </c>
      <c r="R194" s="1" t="s">
        <v>35</v>
      </c>
      <c r="S194" s="4" t="s">
        <v>37</v>
      </c>
      <c r="T194" s="1" t="s">
        <v>794</v>
      </c>
      <c r="U194" s="5"/>
      <c r="V194" s="5"/>
      <c r="W194" s="6"/>
      <c r="X194" s="6"/>
      <c r="Y194" s="6"/>
      <c r="Z194" s="3"/>
    </row>
    <row r="195">
      <c r="A195" s="1">
        <v>221902.0</v>
      </c>
      <c r="B195" s="1" t="s">
        <v>795</v>
      </c>
      <c r="C195" s="1" t="s">
        <v>796</v>
      </c>
      <c r="D195" s="1" t="s">
        <v>28</v>
      </c>
      <c r="E195" s="2">
        <v>16000.0</v>
      </c>
      <c r="F195" s="2">
        <v>19200.0</v>
      </c>
      <c r="G195" s="1" t="s">
        <v>29</v>
      </c>
      <c r="H195" s="1" t="s">
        <v>790</v>
      </c>
      <c r="I195" s="1" t="s">
        <v>644</v>
      </c>
      <c r="J195" s="1" t="s">
        <v>77</v>
      </c>
      <c r="K195" s="3"/>
      <c r="L195" s="1" t="s">
        <v>32</v>
      </c>
      <c r="M195" s="1" t="s">
        <v>52</v>
      </c>
      <c r="N195" s="1">
        <v>174000.0</v>
      </c>
      <c r="O195" s="1" t="s">
        <v>78</v>
      </c>
      <c r="P195" s="1" t="s">
        <v>35</v>
      </c>
      <c r="Q195" s="1" t="s">
        <v>172</v>
      </c>
      <c r="R195" s="1" t="s">
        <v>53</v>
      </c>
      <c r="S195" s="4" t="s">
        <v>63</v>
      </c>
      <c r="T195" s="1" t="s">
        <v>501</v>
      </c>
      <c r="U195" s="5">
        <f t="shared" ref="U195:U198" si="119">(F195/E195)-1</f>
        <v>0.2</v>
      </c>
      <c r="V195" s="5">
        <f t="shared" ref="V195:V198" si="120">ROUNDDOWN(N195/E195,0)</f>
        <v>10</v>
      </c>
      <c r="W195" s="6">
        <f t="shared" ref="W195:W198" si="121">13.33*E195+N195</f>
        <v>387280</v>
      </c>
      <c r="X195" s="6"/>
      <c r="Y195" s="6">
        <f t="shared" ref="Y195:Y198" si="122">W195+(W195*U195)</f>
        <v>464736</v>
      </c>
      <c r="Z195" s="3" t="str">
        <f t="shared" ref="Z195:Z196" si="123">IF(Y195&lt;100000,"abaixo de R$100.000",IF(AND(Y195&gt;=100000,Y195&lt;200000),"R$100.000 - R$200.000",IF(AND(Y195&gt;=200000,Y195&lt;300000),"R$200.000 - R$300.000",IF(AND(Y195&gt;=300000,Y195&lt;400000),"R$300.000 - R$400.000",IF(AND(Y195&gt;=400000,Y195&lt;500000),"R$400.000 - R$500.000",IF(AND(Y195&gt;=500000,Y195&lt;600000),"R$500.000 - R$600.000",IF(AND(Y195&gt;=600000,Y195&lt;700000),"R$600.000 - R$700.000",IF(AND(Y195&gt;=700000,Y195&lt;800000),"R$700.000 - R$800.000",IF(AND(Y195&gt;=800000,Y195&lt;900000),"R$800.000 - R$900.000","Superior a R$900.000")))))))))</f>
        <v>R$400.000 - R$500.000</v>
      </c>
    </row>
    <row r="196">
      <c r="A196" s="1">
        <v>104684.0</v>
      </c>
      <c r="B196" s="1" t="s">
        <v>797</v>
      </c>
      <c r="C196" s="1" t="s">
        <v>798</v>
      </c>
      <c r="D196" s="1" t="s">
        <v>28</v>
      </c>
      <c r="E196" s="2">
        <v>51000.0</v>
      </c>
      <c r="F196" s="2">
        <f>E196</f>
        <v>51000</v>
      </c>
      <c r="G196" s="1" t="s">
        <v>29</v>
      </c>
      <c r="H196" s="1" t="s">
        <v>799</v>
      </c>
      <c r="I196" s="1" t="s">
        <v>800</v>
      </c>
      <c r="J196" s="1" t="s">
        <v>31</v>
      </c>
      <c r="K196" s="1" t="s">
        <v>359</v>
      </c>
      <c r="L196" s="1" t="s">
        <v>51</v>
      </c>
      <c r="M196" s="1" t="s">
        <v>33</v>
      </c>
      <c r="N196" s="1">
        <v>250000.0</v>
      </c>
      <c r="O196" s="1" t="s">
        <v>178</v>
      </c>
      <c r="P196" s="1" t="s">
        <v>53</v>
      </c>
      <c r="Q196" s="1" t="s">
        <v>54</v>
      </c>
      <c r="R196" s="1" t="s">
        <v>35</v>
      </c>
      <c r="S196" s="4" t="s">
        <v>381</v>
      </c>
      <c r="T196" s="1" t="s">
        <v>801</v>
      </c>
      <c r="U196" s="5">
        <f t="shared" si="119"/>
        <v>0</v>
      </c>
      <c r="V196" s="5">
        <f t="shared" si="120"/>
        <v>4</v>
      </c>
      <c r="W196" s="6">
        <f t="shared" si="121"/>
        <v>929830</v>
      </c>
      <c r="X196" s="6" t="str">
        <f>IF(W196&lt;100000,"abaixo de R$100.000",IF(AND(W196&gt;=100000,W196&lt;200000),"R$100.000 - R$200.000",IF(AND(W196&gt;=200000,W196&lt;300000),"R$200.000 - R$300.000",IF(AND(W196&gt;=300000,W196&lt;400000),"R$300.000 - R$400.000",IF(AND(W196&gt;=400000,W196&lt;500000),"R$400.000 - R$500.000",IF(AND(W196&gt;=500000,W196&lt;600000),"R$500.000 - R$600.000",IF(AND(W196&gt;=600000,W196&lt;700000),"R$600.000 - R$700.000",IF(AND(W196&gt;=700000,W196&lt;800000),"R$700.000 - R$800.000",IF(AND(W196&gt;=800000,W196&lt;900000),"R$800.000 - R$900.000","Superior a R$900.000")))))))))</f>
        <v>Superior a R$900.000</v>
      </c>
      <c r="Y196" s="6">
        <f t="shared" si="122"/>
        <v>929830</v>
      </c>
      <c r="Z196" s="3" t="str">
        <f t="shared" si="123"/>
        <v>Superior a R$900.000</v>
      </c>
    </row>
    <row r="197">
      <c r="A197" s="1">
        <v>222532.0</v>
      </c>
      <c r="B197" s="1" t="s">
        <v>802</v>
      </c>
      <c r="C197" s="1">
        <v>16000.0</v>
      </c>
      <c r="D197" s="1" t="s">
        <v>28</v>
      </c>
      <c r="E197" s="2">
        <v>16000.0</v>
      </c>
      <c r="F197" s="2">
        <v>20000.0</v>
      </c>
      <c r="G197" s="1" t="s">
        <v>29</v>
      </c>
      <c r="H197" s="1" t="s">
        <v>803</v>
      </c>
      <c r="I197" s="1" t="s">
        <v>804</v>
      </c>
      <c r="J197" s="1" t="s">
        <v>77</v>
      </c>
      <c r="K197" s="3"/>
      <c r="L197" s="1" t="s">
        <v>32</v>
      </c>
      <c r="M197" s="1" t="s">
        <v>33</v>
      </c>
      <c r="N197" s="1">
        <v>65000.0</v>
      </c>
      <c r="O197" s="1" t="s">
        <v>34</v>
      </c>
      <c r="P197" s="1" t="s">
        <v>53</v>
      </c>
      <c r="Q197" s="1" t="s">
        <v>54</v>
      </c>
      <c r="R197" s="1" t="s">
        <v>35</v>
      </c>
      <c r="S197" s="4" t="s">
        <v>63</v>
      </c>
      <c r="T197" s="1" t="s">
        <v>404</v>
      </c>
      <c r="U197" s="5">
        <f t="shared" si="119"/>
        <v>0.25</v>
      </c>
      <c r="V197" s="5">
        <f t="shared" si="120"/>
        <v>4</v>
      </c>
      <c r="W197" s="6">
        <f t="shared" si="121"/>
        <v>278280</v>
      </c>
      <c r="X197" s="6"/>
      <c r="Y197" s="6">
        <f t="shared" si="122"/>
        <v>347850</v>
      </c>
      <c r="Z197" s="3"/>
    </row>
    <row r="198">
      <c r="A198" s="1">
        <v>116301.0</v>
      </c>
      <c r="B198" s="1" t="s">
        <v>805</v>
      </c>
      <c r="C198" s="1" t="s">
        <v>806</v>
      </c>
      <c r="D198" s="1" t="s">
        <v>28</v>
      </c>
      <c r="E198" s="2">
        <v>15000.0</v>
      </c>
      <c r="F198" s="2">
        <v>17000.0</v>
      </c>
      <c r="G198" s="1" t="s">
        <v>29</v>
      </c>
      <c r="H198" s="1" t="s">
        <v>807</v>
      </c>
      <c r="I198" s="1" t="s">
        <v>31</v>
      </c>
      <c r="J198" s="1" t="s">
        <v>31</v>
      </c>
      <c r="K198" s="3"/>
      <c r="L198" s="1" t="s">
        <v>32</v>
      </c>
      <c r="M198" s="1" t="s">
        <v>33</v>
      </c>
      <c r="N198" s="1">
        <v>15000.0</v>
      </c>
      <c r="O198" s="1" t="s">
        <v>62</v>
      </c>
      <c r="P198" s="1" t="s">
        <v>53</v>
      </c>
      <c r="Q198" s="1" t="s">
        <v>54</v>
      </c>
      <c r="R198" s="1" t="s">
        <v>35</v>
      </c>
      <c r="S198" s="4" t="s">
        <v>63</v>
      </c>
      <c r="T198" s="1" t="s">
        <v>808</v>
      </c>
      <c r="U198" s="5">
        <f t="shared" si="119"/>
        <v>0.1333333333</v>
      </c>
      <c r="V198" s="5">
        <f t="shared" si="120"/>
        <v>1</v>
      </c>
      <c r="W198" s="6">
        <f t="shared" si="121"/>
        <v>214950</v>
      </c>
      <c r="X198" s="6"/>
      <c r="Y198" s="6">
        <f t="shared" si="122"/>
        <v>243610</v>
      </c>
      <c r="Z198" s="3"/>
    </row>
    <row r="199">
      <c r="A199" s="1">
        <v>105557.0</v>
      </c>
      <c r="B199" s="1" t="s">
        <v>809</v>
      </c>
      <c r="C199" s="1" t="s">
        <v>810</v>
      </c>
      <c r="D199" s="1" t="s">
        <v>28</v>
      </c>
      <c r="E199" s="1">
        <v>0.0</v>
      </c>
      <c r="F199" s="1">
        <v>0.0</v>
      </c>
      <c r="G199" s="1" t="s">
        <v>29</v>
      </c>
      <c r="H199" s="1" t="s">
        <v>811</v>
      </c>
      <c r="I199" s="1" t="s">
        <v>812</v>
      </c>
      <c r="J199" s="1" t="s">
        <v>60</v>
      </c>
      <c r="K199" s="3"/>
      <c r="L199" s="1" t="s">
        <v>32</v>
      </c>
      <c r="M199" s="1" t="s">
        <v>33</v>
      </c>
      <c r="N199" s="6"/>
      <c r="O199" s="1" t="s">
        <v>62</v>
      </c>
      <c r="P199" s="1" t="s">
        <v>35</v>
      </c>
      <c r="Q199" s="1" t="s">
        <v>36</v>
      </c>
      <c r="R199" s="1" t="s">
        <v>35</v>
      </c>
      <c r="S199" s="4" t="s">
        <v>37</v>
      </c>
      <c r="T199" s="1" t="s">
        <v>386</v>
      </c>
      <c r="U199" s="5"/>
      <c r="V199" s="5"/>
      <c r="W199" s="6"/>
      <c r="X199" s="6"/>
      <c r="Y199" s="6"/>
      <c r="Z199" s="3"/>
    </row>
    <row r="200">
      <c r="A200" s="1">
        <v>222526.0</v>
      </c>
      <c r="B200" s="1" t="s">
        <v>813</v>
      </c>
      <c r="C200" s="1" t="s">
        <v>814</v>
      </c>
      <c r="D200" s="1" t="s">
        <v>28</v>
      </c>
      <c r="E200" s="2">
        <v>13000.0</v>
      </c>
      <c r="F200" s="2">
        <v>15600.0</v>
      </c>
      <c r="G200" s="1" t="s">
        <v>75</v>
      </c>
      <c r="H200" s="1" t="s">
        <v>815</v>
      </c>
      <c r="I200" s="1" t="s">
        <v>816</v>
      </c>
      <c r="J200" s="1" t="s">
        <v>77</v>
      </c>
      <c r="K200" s="3"/>
      <c r="L200" s="1" t="s">
        <v>32</v>
      </c>
      <c r="M200" s="1" t="s">
        <v>52</v>
      </c>
      <c r="N200" s="1">
        <v>0.0</v>
      </c>
      <c r="O200" s="1" t="s">
        <v>178</v>
      </c>
      <c r="P200" s="1" t="s">
        <v>53</v>
      </c>
      <c r="Q200" s="1" t="s">
        <v>36</v>
      </c>
      <c r="R200" s="1" t="s">
        <v>53</v>
      </c>
      <c r="S200" s="4" t="s">
        <v>63</v>
      </c>
      <c r="T200" s="1" t="s">
        <v>817</v>
      </c>
      <c r="U200" s="5">
        <f>(F200/E200)-1</f>
        <v>0.2</v>
      </c>
      <c r="V200" s="5">
        <f>ROUNDDOWN(N200/E200,0)</f>
        <v>0</v>
      </c>
      <c r="W200" s="6">
        <f>13.33*E200+N200</f>
        <v>173290</v>
      </c>
      <c r="X200" s="6"/>
      <c r="Y200" s="6">
        <f>W200+(W200*U200)</f>
        <v>207948</v>
      </c>
      <c r="Z200" s="3"/>
    </row>
    <row r="201">
      <c r="A201" s="1">
        <v>222224.0</v>
      </c>
      <c r="B201" s="1" t="s">
        <v>818</v>
      </c>
      <c r="C201" s="1" t="s">
        <v>819</v>
      </c>
      <c r="D201" s="1" t="s">
        <v>28</v>
      </c>
      <c r="E201" s="1">
        <v>0.0</v>
      </c>
      <c r="F201" s="1">
        <v>0.0</v>
      </c>
      <c r="G201" s="1" t="s">
        <v>29</v>
      </c>
      <c r="H201" s="1" t="s">
        <v>820</v>
      </c>
      <c r="I201" s="1" t="s">
        <v>644</v>
      </c>
      <c r="J201" s="1" t="s">
        <v>77</v>
      </c>
      <c r="K201" s="3"/>
      <c r="L201" s="1" t="s">
        <v>61</v>
      </c>
      <c r="M201" s="1" t="s">
        <v>33</v>
      </c>
      <c r="N201" s="3"/>
      <c r="O201" s="1" t="s">
        <v>199</v>
      </c>
      <c r="P201" s="1" t="s">
        <v>35</v>
      </c>
      <c r="Q201" s="1" t="s">
        <v>36</v>
      </c>
      <c r="R201" s="1" t="s">
        <v>35</v>
      </c>
      <c r="S201" s="4" t="s">
        <v>37</v>
      </c>
      <c r="T201" s="1" t="s">
        <v>195</v>
      </c>
      <c r="U201" s="5"/>
      <c r="V201" s="5"/>
      <c r="W201" s="6"/>
      <c r="X201" s="6"/>
      <c r="Y201" s="6"/>
      <c r="Z201" s="3"/>
    </row>
    <row r="202">
      <c r="A202" s="1">
        <v>152336.0</v>
      </c>
      <c r="B202" s="1" t="s">
        <v>821</v>
      </c>
      <c r="C202" s="1" t="s">
        <v>822</v>
      </c>
      <c r="D202" s="1" t="s">
        <v>28</v>
      </c>
      <c r="E202" s="2">
        <v>28000.0</v>
      </c>
      <c r="F202" s="2">
        <f>E202</f>
        <v>28000</v>
      </c>
      <c r="G202" s="1" t="s">
        <v>29</v>
      </c>
      <c r="H202" s="1" t="s">
        <v>823</v>
      </c>
      <c r="I202" s="1" t="s">
        <v>824</v>
      </c>
      <c r="J202" s="1" t="s">
        <v>50</v>
      </c>
      <c r="K202" s="3"/>
      <c r="L202" s="1" t="s">
        <v>51</v>
      </c>
      <c r="M202" s="1" t="s">
        <v>33</v>
      </c>
      <c r="N202" s="1">
        <v>80000.0</v>
      </c>
      <c r="O202" s="1" t="s">
        <v>449</v>
      </c>
      <c r="P202" s="1" t="s">
        <v>53</v>
      </c>
      <c r="Q202" s="1" t="s">
        <v>54</v>
      </c>
      <c r="R202" s="1" t="s">
        <v>35</v>
      </c>
      <c r="S202" s="4" t="s">
        <v>37</v>
      </c>
      <c r="T202" s="1" t="s">
        <v>436</v>
      </c>
      <c r="U202" s="5">
        <f t="shared" ref="U202:U208" si="124">(F202/E202)-1</f>
        <v>0</v>
      </c>
      <c r="V202" s="5">
        <f t="shared" ref="V202:V208" si="125">ROUNDDOWN(N202/E202,0)</f>
        <v>2</v>
      </c>
      <c r="W202" s="6">
        <f t="shared" ref="W202:W208" si="126">13.33*E202+N202</f>
        <v>453240</v>
      </c>
      <c r="X202" s="6" t="str">
        <f t="shared" ref="X202:X208" si="127">IF(W202&lt;100000,"abaixo de R$100.000",IF(AND(W202&gt;=100000,W202&lt;200000),"R$100.000 - R$200.000",IF(AND(W202&gt;=200000,W202&lt;300000),"R$200.000 - R$300.000",IF(AND(W202&gt;=300000,W202&lt;400000),"R$300.000 - R$400.000",IF(AND(W202&gt;=400000,W202&lt;500000),"R$400.000 - R$500.000",IF(AND(W202&gt;=500000,W202&lt;600000),"R$500.000 - R$600.000",IF(AND(W202&gt;=600000,W202&lt;700000),"R$600.000 - R$700.000",IF(AND(W202&gt;=700000,W202&lt;800000),"R$700.000 - R$800.000",IF(AND(W202&gt;=800000,W202&lt;900000),"R$800.000 - R$900.000","Superior a R$900.000")))))))))</f>
        <v>R$400.000 - R$500.000</v>
      </c>
      <c r="Y202" s="6">
        <f t="shared" ref="Y202:Y208" si="128">W202+(W202*U202)</f>
        <v>453240</v>
      </c>
      <c r="Z202" s="3" t="str">
        <f t="shared" ref="Z202:Z208" si="129">IF(Y202&lt;100000,"abaixo de R$100.000",IF(AND(Y202&gt;=100000,Y202&lt;200000),"R$100.000 - R$200.000",IF(AND(Y202&gt;=200000,Y202&lt;300000),"R$200.000 - R$300.000",IF(AND(Y202&gt;=300000,Y202&lt;400000),"R$300.000 - R$400.000",IF(AND(Y202&gt;=400000,Y202&lt;500000),"R$400.000 - R$500.000",IF(AND(Y202&gt;=500000,Y202&lt;600000),"R$500.000 - R$600.000",IF(AND(Y202&gt;=600000,Y202&lt;700000),"R$600.000 - R$700.000",IF(AND(Y202&gt;=700000,Y202&lt;800000),"R$700.000 - R$800.000",IF(AND(Y202&gt;=800000,Y202&lt;900000),"R$800.000 - R$900.000","Superior a R$900.000")))))))))</f>
        <v>R$400.000 - R$500.000</v>
      </c>
    </row>
    <row r="203">
      <c r="A203" s="1">
        <v>108716.0</v>
      </c>
      <c r="B203" s="1" t="s">
        <v>825</v>
      </c>
      <c r="C203" s="1" t="s">
        <v>826</v>
      </c>
      <c r="D203" s="1" t="s">
        <v>28</v>
      </c>
      <c r="E203" s="2">
        <v>28000.0</v>
      </c>
      <c r="F203" s="2">
        <v>30000.0</v>
      </c>
      <c r="G203" s="1" t="s">
        <v>29</v>
      </c>
      <c r="H203" s="1" t="s">
        <v>823</v>
      </c>
      <c r="I203" s="1" t="s">
        <v>99</v>
      </c>
      <c r="J203" s="1" t="s">
        <v>31</v>
      </c>
      <c r="K203" s="1" t="s">
        <v>68</v>
      </c>
      <c r="L203" s="1" t="s">
        <v>32</v>
      </c>
      <c r="M203" s="1" t="s">
        <v>52</v>
      </c>
      <c r="N203" s="1">
        <v>56000.0</v>
      </c>
      <c r="O203" s="1" t="s">
        <v>171</v>
      </c>
      <c r="P203" s="1" t="s">
        <v>35</v>
      </c>
      <c r="Q203" s="1" t="s">
        <v>54</v>
      </c>
      <c r="R203" s="1" t="s">
        <v>35</v>
      </c>
      <c r="S203" s="4" t="s">
        <v>37</v>
      </c>
      <c r="T203" s="1" t="s">
        <v>827</v>
      </c>
      <c r="U203" s="5">
        <f t="shared" si="124"/>
        <v>0.07142857143</v>
      </c>
      <c r="V203" s="5">
        <f t="shared" si="125"/>
        <v>2</v>
      </c>
      <c r="W203" s="6">
        <f t="shared" si="126"/>
        <v>429240</v>
      </c>
      <c r="X203" s="6" t="str">
        <f t="shared" si="127"/>
        <v>R$400.000 - R$500.000</v>
      </c>
      <c r="Y203" s="6">
        <f t="shared" si="128"/>
        <v>459900</v>
      </c>
      <c r="Z203" s="3" t="str">
        <f t="shared" si="129"/>
        <v>R$400.000 - R$500.000</v>
      </c>
    </row>
    <row r="204">
      <c r="A204" s="1">
        <v>113668.0</v>
      </c>
      <c r="B204" s="1" t="s">
        <v>828</v>
      </c>
      <c r="C204" s="1" t="s">
        <v>829</v>
      </c>
      <c r="D204" s="1" t="s">
        <v>28</v>
      </c>
      <c r="E204" s="2">
        <v>30000.0</v>
      </c>
      <c r="F204" s="2">
        <v>35000.0</v>
      </c>
      <c r="G204" s="1" t="s">
        <v>29</v>
      </c>
      <c r="H204" s="1" t="s">
        <v>823</v>
      </c>
      <c r="I204" s="1" t="s">
        <v>830</v>
      </c>
      <c r="J204" s="1" t="s">
        <v>60</v>
      </c>
      <c r="K204" s="1" t="s">
        <v>68</v>
      </c>
      <c r="L204" s="1" t="s">
        <v>51</v>
      </c>
      <c r="M204" s="1" t="s">
        <v>52</v>
      </c>
      <c r="N204" s="1">
        <v>75000.0</v>
      </c>
      <c r="O204" s="1" t="s">
        <v>34</v>
      </c>
      <c r="P204" s="1" t="s">
        <v>35</v>
      </c>
      <c r="Q204" s="1" t="s">
        <v>36</v>
      </c>
      <c r="R204" s="1" t="s">
        <v>35</v>
      </c>
      <c r="S204" s="4" t="s">
        <v>37</v>
      </c>
      <c r="T204" s="1" t="s">
        <v>375</v>
      </c>
      <c r="U204" s="5">
        <f t="shared" si="124"/>
        <v>0.1666666667</v>
      </c>
      <c r="V204" s="5">
        <f t="shared" si="125"/>
        <v>2</v>
      </c>
      <c r="W204" s="6">
        <f t="shared" si="126"/>
        <v>474900</v>
      </c>
      <c r="X204" s="6" t="str">
        <f t="shared" si="127"/>
        <v>R$400.000 - R$500.000</v>
      </c>
      <c r="Y204" s="6">
        <f t="shared" si="128"/>
        <v>554050</v>
      </c>
      <c r="Z204" s="3" t="str">
        <f t="shared" si="129"/>
        <v>R$500.000 - R$600.000</v>
      </c>
    </row>
    <row r="205">
      <c r="A205" s="1">
        <v>212743.0</v>
      </c>
      <c r="B205" s="1" t="s">
        <v>831</v>
      </c>
      <c r="C205" s="1" t="s">
        <v>832</v>
      </c>
      <c r="D205" s="1" t="s">
        <v>28</v>
      </c>
      <c r="E205" s="2">
        <v>22000.0</v>
      </c>
      <c r="F205" s="2">
        <v>25000.0</v>
      </c>
      <c r="G205" s="1" t="s">
        <v>29</v>
      </c>
      <c r="H205" s="1" t="s">
        <v>823</v>
      </c>
      <c r="I205" s="1" t="s">
        <v>833</v>
      </c>
      <c r="J205" s="1" t="s">
        <v>60</v>
      </c>
      <c r="K205" s="3"/>
      <c r="L205" s="1" t="s">
        <v>51</v>
      </c>
      <c r="M205" s="1" t="s">
        <v>33</v>
      </c>
      <c r="N205" s="1">
        <v>266000.0</v>
      </c>
      <c r="O205" s="1" t="s">
        <v>199</v>
      </c>
      <c r="P205" s="1" t="s">
        <v>53</v>
      </c>
      <c r="Q205" s="1" t="s">
        <v>54</v>
      </c>
      <c r="R205" s="1" t="s">
        <v>35</v>
      </c>
      <c r="S205" s="4" t="s">
        <v>37</v>
      </c>
      <c r="T205" s="1" t="s">
        <v>834</v>
      </c>
      <c r="U205" s="5">
        <f t="shared" si="124"/>
        <v>0.1363636364</v>
      </c>
      <c r="V205" s="5">
        <f t="shared" si="125"/>
        <v>12</v>
      </c>
      <c r="W205" s="6">
        <f t="shared" si="126"/>
        <v>559260</v>
      </c>
      <c r="X205" s="6" t="str">
        <f t="shared" si="127"/>
        <v>R$500.000 - R$600.000</v>
      </c>
      <c r="Y205" s="6">
        <f t="shared" si="128"/>
        <v>635522.7273</v>
      </c>
      <c r="Z205" s="3" t="str">
        <f t="shared" si="129"/>
        <v>R$600.000 - R$700.000</v>
      </c>
    </row>
    <row r="206">
      <c r="A206" s="1">
        <v>175231.0</v>
      </c>
      <c r="B206" s="1" t="s">
        <v>835</v>
      </c>
      <c r="C206" s="1" t="s">
        <v>836</v>
      </c>
      <c r="D206" s="1" t="s">
        <v>28</v>
      </c>
      <c r="E206" s="2">
        <v>35000.0</v>
      </c>
      <c r="F206" s="2">
        <v>35000.0</v>
      </c>
      <c r="G206" s="1" t="s">
        <v>29</v>
      </c>
      <c r="H206" s="1" t="s">
        <v>823</v>
      </c>
      <c r="I206" s="1" t="s">
        <v>31</v>
      </c>
      <c r="J206" s="1" t="s">
        <v>31</v>
      </c>
      <c r="K206" s="3"/>
      <c r="L206" s="1" t="s">
        <v>32</v>
      </c>
      <c r="M206" s="1" t="s">
        <v>33</v>
      </c>
      <c r="N206" s="1">
        <v>35000.0</v>
      </c>
      <c r="O206" s="1" t="s">
        <v>78</v>
      </c>
      <c r="P206" s="1" t="s">
        <v>35</v>
      </c>
      <c r="Q206" s="1" t="s">
        <v>36</v>
      </c>
      <c r="R206" s="1" t="s">
        <v>35</v>
      </c>
      <c r="S206" s="4" t="s">
        <v>37</v>
      </c>
      <c r="T206" s="1" t="s">
        <v>837</v>
      </c>
      <c r="U206" s="5">
        <f t="shared" si="124"/>
        <v>0</v>
      </c>
      <c r="V206" s="5">
        <f t="shared" si="125"/>
        <v>1</v>
      </c>
      <c r="W206" s="6">
        <f t="shared" si="126"/>
        <v>501550</v>
      </c>
      <c r="X206" s="6" t="str">
        <f t="shared" si="127"/>
        <v>R$500.000 - R$600.000</v>
      </c>
      <c r="Y206" s="6">
        <f t="shared" si="128"/>
        <v>501550</v>
      </c>
      <c r="Z206" s="3" t="str">
        <f t="shared" si="129"/>
        <v>R$500.000 - R$600.000</v>
      </c>
    </row>
    <row r="207">
      <c r="A207" s="1">
        <v>102883.0</v>
      </c>
      <c r="B207" s="1" t="s">
        <v>838</v>
      </c>
      <c r="C207" s="1" t="s">
        <v>839</v>
      </c>
      <c r="D207" s="1" t="s">
        <v>28</v>
      </c>
      <c r="E207" s="2">
        <v>35000.0</v>
      </c>
      <c r="F207" s="2">
        <v>40000.0</v>
      </c>
      <c r="G207" s="1" t="s">
        <v>29</v>
      </c>
      <c r="H207" s="1" t="s">
        <v>823</v>
      </c>
      <c r="I207" s="1" t="s">
        <v>840</v>
      </c>
      <c r="J207" s="1" t="s">
        <v>77</v>
      </c>
      <c r="K207" s="1" t="s">
        <v>68</v>
      </c>
      <c r="L207" s="1" t="s">
        <v>61</v>
      </c>
      <c r="M207" s="1" t="s">
        <v>52</v>
      </c>
      <c r="N207" s="1">
        <v>130000.0</v>
      </c>
      <c r="O207" s="1" t="s">
        <v>34</v>
      </c>
      <c r="P207" s="1" t="s">
        <v>35</v>
      </c>
      <c r="Q207" s="1" t="s">
        <v>54</v>
      </c>
      <c r="R207" s="1" t="s">
        <v>35</v>
      </c>
      <c r="S207" s="4" t="s">
        <v>37</v>
      </c>
      <c r="T207" s="1" t="s">
        <v>141</v>
      </c>
      <c r="U207" s="5">
        <f t="shared" si="124"/>
        <v>0.1428571429</v>
      </c>
      <c r="V207" s="5">
        <f t="shared" si="125"/>
        <v>3</v>
      </c>
      <c r="W207" s="6">
        <f t="shared" si="126"/>
        <v>596550</v>
      </c>
      <c r="X207" s="6" t="str">
        <f t="shared" si="127"/>
        <v>R$500.000 - R$600.000</v>
      </c>
      <c r="Y207" s="6">
        <f t="shared" si="128"/>
        <v>681771.4286</v>
      </c>
      <c r="Z207" s="3" t="str">
        <f t="shared" si="129"/>
        <v>R$600.000 - R$700.000</v>
      </c>
    </row>
    <row r="208">
      <c r="A208" s="1">
        <v>117713.0</v>
      </c>
      <c r="B208" s="1" t="s">
        <v>841</v>
      </c>
      <c r="C208" s="1" t="s">
        <v>842</v>
      </c>
      <c r="D208" s="1" t="s">
        <v>28</v>
      </c>
      <c r="E208" s="2">
        <v>25000.0</v>
      </c>
      <c r="F208" s="2">
        <v>25000.0</v>
      </c>
      <c r="G208" s="1" t="s">
        <v>29</v>
      </c>
      <c r="H208" s="1" t="s">
        <v>823</v>
      </c>
      <c r="I208" s="1" t="s">
        <v>843</v>
      </c>
      <c r="J208" s="1" t="s">
        <v>77</v>
      </c>
      <c r="K208" s="1" t="s">
        <v>68</v>
      </c>
      <c r="L208" s="1" t="s">
        <v>61</v>
      </c>
      <c r="M208" s="1" t="s">
        <v>52</v>
      </c>
      <c r="N208" s="1">
        <v>1.5E7</v>
      </c>
      <c r="O208" s="1" t="s">
        <v>171</v>
      </c>
      <c r="P208" s="1" t="s">
        <v>35</v>
      </c>
      <c r="Q208" s="1" t="s">
        <v>36</v>
      </c>
      <c r="R208" s="1" t="s">
        <v>35</v>
      </c>
      <c r="S208" s="4" t="s">
        <v>37</v>
      </c>
      <c r="T208" s="1" t="s">
        <v>611</v>
      </c>
      <c r="U208" s="5">
        <f t="shared" si="124"/>
        <v>0</v>
      </c>
      <c r="V208" s="5">
        <f t="shared" si="125"/>
        <v>600</v>
      </c>
      <c r="W208" s="6">
        <f t="shared" si="126"/>
        <v>15333250</v>
      </c>
      <c r="X208" s="6" t="str">
        <f t="shared" si="127"/>
        <v>Superior a R$900.000</v>
      </c>
      <c r="Y208" s="6">
        <f t="shared" si="128"/>
        <v>15333250</v>
      </c>
      <c r="Z208" s="3" t="str">
        <f t="shared" si="129"/>
        <v>Superior a R$900.000</v>
      </c>
    </row>
    <row r="209">
      <c r="A209" s="1">
        <v>167826.0</v>
      </c>
      <c r="B209" s="1" t="s">
        <v>844</v>
      </c>
      <c r="C209" s="1" t="s">
        <v>845</v>
      </c>
      <c r="D209" s="1" t="s">
        <v>28</v>
      </c>
      <c r="E209" s="1">
        <v>0.0</v>
      </c>
      <c r="F209" s="1">
        <v>0.0</v>
      </c>
      <c r="G209" s="1" t="s">
        <v>75</v>
      </c>
      <c r="H209" s="1" t="s">
        <v>823</v>
      </c>
      <c r="I209" s="1" t="s">
        <v>846</v>
      </c>
      <c r="J209" s="1" t="s">
        <v>77</v>
      </c>
      <c r="K209" s="3"/>
      <c r="L209" s="1" t="s">
        <v>32</v>
      </c>
      <c r="M209" s="1" t="s">
        <v>33</v>
      </c>
      <c r="N209" s="6"/>
      <c r="O209" s="1" t="s">
        <v>199</v>
      </c>
      <c r="P209" s="1" t="s">
        <v>53</v>
      </c>
      <c r="Q209" s="1" t="s">
        <v>54</v>
      </c>
      <c r="R209" s="1" t="s">
        <v>35</v>
      </c>
      <c r="S209" s="4" t="s">
        <v>63</v>
      </c>
      <c r="T209" s="1" t="s">
        <v>847</v>
      </c>
      <c r="U209" s="5"/>
      <c r="V209" s="5"/>
      <c r="W209" s="6"/>
      <c r="X209" s="6"/>
      <c r="Y209" s="6"/>
      <c r="Z209" s="3"/>
    </row>
    <row r="210">
      <c r="A210" s="1">
        <v>184805.0</v>
      </c>
      <c r="B210" s="1" t="s">
        <v>848</v>
      </c>
      <c r="C210" s="1" t="s">
        <v>849</v>
      </c>
      <c r="D210" s="1" t="s">
        <v>28</v>
      </c>
      <c r="E210" s="1">
        <v>0.0</v>
      </c>
      <c r="F210" s="1">
        <v>0.0</v>
      </c>
      <c r="G210" s="1" t="s">
        <v>29</v>
      </c>
      <c r="H210" s="1" t="s">
        <v>823</v>
      </c>
      <c r="I210" s="1" t="s">
        <v>850</v>
      </c>
      <c r="J210" s="1" t="s">
        <v>77</v>
      </c>
      <c r="K210" s="3"/>
      <c r="L210" s="1" t="s">
        <v>51</v>
      </c>
      <c r="M210" s="1" t="s">
        <v>52</v>
      </c>
      <c r="N210" s="3"/>
      <c r="O210" s="1" t="s">
        <v>78</v>
      </c>
      <c r="P210" s="1" t="s">
        <v>35</v>
      </c>
      <c r="Q210" s="1" t="s">
        <v>36</v>
      </c>
      <c r="R210" s="1" t="s">
        <v>35</v>
      </c>
      <c r="S210" s="4" t="s">
        <v>63</v>
      </c>
      <c r="T210" s="1" t="s">
        <v>851</v>
      </c>
      <c r="U210" s="5"/>
      <c r="V210" s="5"/>
      <c r="W210" s="6"/>
      <c r="X210" s="6"/>
      <c r="Y210" s="6"/>
      <c r="Z210" s="3"/>
    </row>
    <row r="211">
      <c r="A211" s="1">
        <v>222341.0</v>
      </c>
      <c r="B211" s="1" t="s">
        <v>852</v>
      </c>
      <c r="C211" s="1" t="s">
        <v>853</v>
      </c>
      <c r="D211" s="1" t="s">
        <v>28</v>
      </c>
      <c r="E211" s="1">
        <v>0.0</v>
      </c>
      <c r="F211" s="1">
        <v>0.0</v>
      </c>
      <c r="G211" s="1" t="s">
        <v>29</v>
      </c>
      <c r="H211" s="1" t="s">
        <v>823</v>
      </c>
      <c r="I211" s="1" t="s">
        <v>854</v>
      </c>
      <c r="J211" s="1" t="s">
        <v>77</v>
      </c>
      <c r="K211" s="3"/>
      <c r="L211" s="1" t="s">
        <v>32</v>
      </c>
      <c r="M211" s="1" t="s">
        <v>52</v>
      </c>
      <c r="N211" s="3"/>
      <c r="O211" s="1" t="s">
        <v>119</v>
      </c>
      <c r="P211" s="1" t="s">
        <v>53</v>
      </c>
      <c r="Q211" s="1" t="s">
        <v>36</v>
      </c>
      <c r="R211" s="1" t="s">
        <v>35</v>
      </c>
      <c r="S211" s="4" t="s">
        <v>63</v>
      </c>
      <c r="T211" s="1" t="s">
        <v>855</v>
      </c>
      <c r="U211" s="5"/>
      <c r="V211" s="5"/>
      <c r="W211" s="6"/>
      <c r="X211" s="6"/>
      <c r="Y211" s="6"/>
      <c r="Z211" s="3"/>
    </row>
    <row r="212">
      <c r="A212" s="1">
        <v>215653.0</v>
      </c>
      <c r="B212" s="1" t="s">
        <v>856</v>
      </c>
      <c r="C212" s="1" t="s">
        <v>857</v>
      </c>
      <c r="D212" s="1" t="s">
        <v>28</v>
      </c>
      <c r="E212" s="2">
        <v>12000.0</v>
      </c>
      <c r="F212" s="2">
        <v>15000.0</v>
      </c>
      <c r="G212" s="1" t="s">
        <v>29</v>
      </c>
      <c r="H212" s="1" t="s">
        <v>823</v>
      </c>
      <c r="I212" s="1" t="s">
        <v>858</v>
      </c>
      <c r="J212" s="1" t="s">
        <v>60</v>
      </c>
      <c r="K212" s="3"/>
      <c r="L212" s="1" t="s">
        <v>51</v>
      </c>
      <c r="M212" s="1" t="s">
        <v>33</v>
      </c>
      <c r="N212" s="1">
        <v>50000.0</v>
      </c>
      <c r="O212" s="1" t="s">
        <v>280</v>
      </c>
      <c r="P212" s="1" t="s">
        <v>53</v>
      </c>
      <c r="Q212" s="1" t="s">
        <v>54</v>
      </c>
      <c r="R212" s="1" t="s">
        <v>35</v>
      </c>
      <c r="S212" s="4" t="s">
        <v>63</v>
      </c>
      <c r="T212" s="1" t="s">
        <v>859</v>
      </c>
      <c r="U212" s="5">
        <f t="shared" ref="U212:U239" si="130">(F212/E212)-1</f>
        <v>0.25</v>
      </c>
      <c r="V212" s="5">
        <f t="shared" ref="V212:V239" si="131">ROUNDDOWN(N212/E212,0)</f>
        <v>4</v>
      </c>
      <c r="W212" s="6">
        <f t="shared" ref="W212:W239" si="132">13.33*E212+N212</f>
        <v>209960</v>
      </c>
      <c r="X212" s="6"/>
      <c r="Y212" s="6">
        <f t="shared" ref="Y212:Y239" si="133">W212+(W212*U212)</f>
        <v>262450</v>
      </c>
      <c r="Z212" s="3"/>
    </row>
    <row r="213">
      <c r="A213" s="1">
        <v>106352.0</v>
      </c>
      <c r="B213" s="1" t="s">
        <v>860</v>
      </c>
      <c r="C213" s="1" t="s">
        <v>861</v>
      </c>
      <c r="D213" s="1" t="s">
        <v>28</v>
      </c>
      <c r="E213" s="2">
        <v>15000.0</v>
      </c>
      <c r="F213" s="2">
        <v>15000.0</v>
      </c>
      <c r="G213" s="1" t="s">
        <v>29</v>
      </c>
      <c r="H213" s="1" t="s">
        <v>823</v>
      </c>
      <c r="I213" s="1" t="s">
        <v>862</v>
      </c>
      <c r="J213" s="1" t="s">
        <v>31</v>
      </c>
      <c r="K213" s="1" t="s">
        <v>68</v>
      </c>
      <c r="L213" s="1" t="s">
        <v>32</v>
      </c>
      <c r="M213" s="1" t="s">
        <v>52</v>
      </c>
      <c r="N213" s="1">
        <v>15000.0</v>
      </c>
      <c r="O213" s="1" t="s">
        <v>70</v>
      </c>
      <c r="P213" s="1" t="s">
        <v>53</v>
      </c>
      <c r="Q213" s="1" t="s">
        <v>36</v>
      </c>
      <c r="R213" s="1" t="s">
        <v>35</v>
      </c>
      <c r="S213" s="4" t="s">
        <v>63</v>
      </c>
      <c r="T213" s="1" t="s">
        <v>375</v>
      </c>
      <c r="U213" s="5">
        <f t="shared" si="130"/>
        <v>0</v>
      </c>
      <c r="V213" s="5">
        <f t="shared" si="131"/>
        <v>1</v>
      </c>
      <c r="W213" s="6">
        <f t="shared" si="132"/>
        <v>214950</v>
      </c>
      <c r="X213" s="6"/>
      <c r="Y213" s="6">
        <f t="shared" si="133"/>
        <v>214950</v>
      </c>
      <c r="Z213" s="3"/>
    </row>
    <row r="214">
      <c r="A214" s="1">
        <v>140580.0</v>
      </c>
      <c r="B214" s="1" t="s">
        <v>863</v>
      </c>
      <c r="C214" s="1" t="s">
        <v>864</v>
      </c>
      <c r="D214" s="1" t="s">
        <v>28</v>
      </c>
      <c r="E214" s="2">
        <v>20000.0</v>
      </c>
      <c r="F214" s="2">
        <v>25000.0</v>
      </c>
      <c r="G214" s="1" t="s">
        <v>29</v>
      </c>
      <c r="H214" s="1" t="s">
        <v>823</v>
      </c>
      <c r="I214" s="1" t="s">
        <v>439</v>
      </c>
      <c r="J214" s="1" t="s">
        <v>60</v>
      </c>
      <c r="K214" s="1" t="s">
        <v>68</v>
      </c>
      <c r="L214" s="1" t="s">
        <v>32</v>
      </c>
      <c r="M214" s="1" t="s">
        <v>33</v>
      </c>
      <c r="N214" s="1">
        <v>60000.0</v>
      </c>
      <c r="O214" s="1" t="s">
        <v>34</v>
      </c>
      <c r="P214" s="1" t="s">
        <v>53</v>
      </c>
      <c r="Q214" s="1" t="s">
        <v>54</v>
      </c>
      <c r="R214" s="1" t="s">
        <v>35</v>
      </c>
      <c r="S214" s="4" t="s">
        <v>63</v>
      </c>
      <c r="T214" s="1" t="s">
        <v>315</v>
      </c>
      <c r="U214" s="5">
        <f t="shared" si="130"/>
        <v>0.25</v>
      </c>
      <c r="V214" s="5">
        <f t="shared" si="131"/>
        <v>3</v>
      </c>
      <c r="W214" s="6">
        <f t="shared" si="132"/>
        <v>326600</v>
      </c>
      <c r="X214" s="6"/>
      <c r="Y214" s="6">
        <f t="shared" si="133"/>
        <v>408250</v>
      </c>
      <c r="Z214" s="3" t="str">
        <f t="shared" ref="Z214:Z218" si="134">IF(Y214&lt;100000,"abaixo de R$100.000",IF(AND(Y214&gt;=100000,Y214&lt;200000),"R$100.000 - R$200.000",IF(AND(Y214&gt;=200000,Y214&lt;300000),"R$200.000 - R$300.000",IF(AND(Y214&gt;=300000,Y214&lt;400000),"R$300.000 - R$400.000",IF(AND(Y214&gt;=400000,Y214&lt;500000),"R$400.000 - R$500.000",IF(AND(Y214&gt;=500000,Y214&lt;600000),"R$500.000 - R$600.000",IF(AND(Y214&gt;=600000,Y214&lt;700000),"R$600.000 - R$700.000",IF(AND(Y214&gt;=700000,Y214&lt;800000),"R$700.000 - R$800.000",IF(AND(Y214&gt;=800000,Y214&lt;900000),"R$800.000 - R$900.000","Superior a R$900.000")))))))))</f>
        <v>R$400.000 - R$500.000</v>
      </c>
    </row>
    <row r="215">
      <c r="A215" s="1">
        <v>222088.0</v>
      </c>
      <c r="B215" s="1" t="s">
        <v>865</v>
      </c>
      <c r="C215" s="1">
        <v>30000.0</v>
      </c>
      <c r="D215" s="1" t="s">
        <v>28</v>
      </c>
      <c r="E215" s="2">
        <v>20000.0</v>
      </c>
      <c r="F215" s="2">
        <v>30000.0</v>
      </c>
      <c r="G215" s="1" t="s">
        <v>29</v>
      </c>
      <c r="H215" s="1" t="s">
        <v>823</v>
      </c>
      <c r="I215" s="1" t="s">
        <v>866</v>
      </c>
      <c r="J215" s="1" t="s">
        <v>31</v>
      </c>
      <c r="K215" s="3"/>
      <c r="L215" s="1" t="s">
        <v>51</v>
      </c>
      <c r="M215" s="1" t="s">
        <v>33</v>
      </c>
      <c r="N215" s="1">
        <v>40000.0</v>
      </c>
      <c r="O215" s="1" t="s">
        <v>78</v>
      </c>
      <c r="P215" s="1" t="s">
        <v>35</v>
      </c>
      <c r="Q215" s="1" t="s">
        <v>36</v>
      </c>
      <c r="R215" s="1" t="s">
        <v>35</v>
      </c>
      <c r="S215" s="4" t="s">
        <v>63</v>
      </c>
      <c r="T215" s="1" t="s">
        <v>480</v>
      </c>
      <c r="U215" s="5">
        <f t="shared" si="130"/>
        <v>0.5</v>
      </c>
      <c r="V215" s="5">
        <f t="shared" si="131"/>
        <v>2</v>
      </c>
      <c r="W215" s="6">
        <f t="shared" si="132"/>
        <v>306600</v>
      </c>
      <c r="X215" s="6"/>
      <c r="Y215" s="6">
        <f t="shared" si="133"/>
        <v>459900</v>
      </c>
      <c r="Z215" s="3" t="str">
        <f t="shared" si="134"/>
        <v>R$400.000 - R$500.000</v>
      </c>
    </row>
    <row r="216">
      <c r="A216" s="1">
        <v>114801.0</v>
      </c>
      <c r="B216" s="1" t="s">
        <v>867</v>
      </c>
      <c r="C216" s="1" t="s">
        <v>868</v>
      </c>
      <c r="D216" s="1" t="s">
        <v>28</v>
      </c>
      <c r="E216" s="2">
        <v>28000.0</v>
      </c>
      <c r="F216" s="2">
        <v>35000.0</v>
      </c>
      <c r="G216" s="1" t="s">
        <v>29</v>
      </c>
      <c r="H216" s="1" t="s">
        <v>869</v>
      </c>
      <c r="I216" s="1" t="s">
        <v>870</v>
      </c>
      <c r="J216" s="1" t="s">
        <v>60</v>
      </c>
      <c r="K216" s="1" t="s">
        <v>68</v>
      </c>
      <c r="L216" s="1" t="s">
        <v>32</v>
      </c>
      <c r="M216" s="1" t="s">
        <v>33</v>
      </c>
      <c r="N216" s="1">
        <v>28000.0</v>
      </c>
      <c r="O216" s="1" t="s">
        <v>44</v>
      </c>
      <c r="P216" s="1" t="s">
        <v>53</v>
      </c>
      <c r="Q216" s="1" t="s">
        <v>36</v>
      </c>
      <c r="R216" s="1" t="s">
        <v>35</v>
      </c>
      <c r="S216" s="4" t="s">
        <v>63</v>
      </c>
      <c r="T216" s="1" t="s">
        <v>64</v>
      </c>
      <c r="U216" s="5">
        <f t="shared" si="130"/>
        <v>0.25</v>
      </c>
      <c r="V216" s="5">
        <f t="shared" si="131"/>
        <v>1</v>
      </c>
      <c r="W216" s="6">
        <f t="shared" si="132"/>
        <v>401240</v>
      </c>
      <c r="X216" s="6" t="str">
        <f t="shared" ref="X216:X218" si="135">IF(W216&lt;100000,"abaixo de R$100.000",IF(AND(W216&gt;=100000,W216&lt;200000),"R$100.000 - R$200.000",IF(AND(W216&gt;=200000,W216&lt;300000),"R$200.000 - R$300.000",IF(AND(W216&gt;=300000,W216&lt;400000),"R$300.000 - R$400.000",IF(AND(W216&gt;=400000,W216&lt;500000),"R$400.000 - R$500.000",IF(AND(W216&gt;=500000,W216&lt;600000),"R$500.000 - R$600.000",IF(AND(W216&gt;=600000,W216&lt;700000),"R$600.000 - R$700.000",IF(AND(W216&gt;=700000,W216&lt;800000),"R$700.000 - R$800.000",IF(AND(W216&gt;=800000,W216&lt;900000),"R$800.000 - R$900.000","Superior a R$900.000")))))))))</f>
        <v>R$400.000 - R$500.000</v>
      </c>
      <c r="Y216" s="6">
        <f t="shared" si="133"/>
        <v>501550</v>
      </c>
      <c r="Z216" s="3" t="str">
        <f t="shared" si="134"/>
        <v>R$500.000 - R$600.000</v>
      </c>
    </row>
    <row r="217">
      <c r="A217" s="1">
        <v>130233.0</v>
      </c>
      <c r="B217" s="1" t="s">
        <v>871</v>
      </c>
      <c r="C217" s="1" t="s">
        <v>872</v>
      </c>
      <c r="D217" s="1" t="s">
        <v>28</v>
      </c>
      <c r="E217" s="2">
        <v>33000.0</v>
      </c>
      <c r="F217" s="2">
        <v>39600.0</v>
      </c>
      <c r="G217" s="1" t="s">
        <v>29</v>
      </c>
      <c r="H217" s="1" t="s">
        <v>873</v>
      </c>
      <c r="I217" s="1" t="s">
        <v>31</v>
      </c>
      <c r="J217" s="1" t="s">
        <v>31</v>
      </c>
      <c r="K217" s="1" t="s">
        <v>363</v>
      </c>
      <c r="L217" s="1" t="s">
        <v>32</v>
      </c>
      <c r="M217" s="1" t="s">
        <v>33</v>
      </c>
      <c r="N217" s="1">
        <v>0.0</v>
      </c>
      <c r="O217" s="1" t="s">
        <v>199</v>
      </c>
      <c r="P217" s="1" t="s">
        <v>53</v>
      </c>
      <c r="Q217" s="1" t="s">
        <v>36</v>
      </c>
      <c r="R217" s="1" t="s">
        <v>35</v>
      </c>
      <c r="S217" s="4" t="s">
        <v>63</v>
      </c>
      <c r="T217" s="1" t="s">
        <v>285</v>
      </c>
      <c r="U217" s="5">
        <f t="shared" si="130"/>
        <v>0.2</v>
      </c>
      <c r="V217" s="5">
        <f t="shared" si="131"/>
        <v>0</v>
      </c>
      <c r="W217" s="6">
        <f t="shared" si="132"/>
        <v>439890</v>
      </c>
      <c r="X217" s="6" t="str">
        <f t="shared" si="135"/>
        <v>R$400.000 - R$500.000</v>
      </c>
      <c r="Y217" s="6">
        <f t="shared" si="133"/>
        <v>527868</v>
      </c>
      <c r="Z217" s="3" t="str">
        <f t="shared" si="134"/>
        <v>R$500.000 - R$600.000</v>
      </c>
    </row>
    <row r="218">
      <c r="A218" s="1">
        <v>122958.0</v>
      </c>
      <c r="B218" s="1" t="s">
        <v>874</v>
      </c>
      <c r="C218" s="1" t="s">
        <v>875</v>
      </c>
      <c r="D218" s="1" t="s">
        <v>28</v>
      </c>
      <c r="E218" s="2">
        <v>35000.0</v>
      </c>
      <c r="F218" s="2">
        <v>35000.0</v>
      </c>
      <c r="G218" s="1" t="s">
        <v>29</v>
      </c>
      <c r="H218" s="1" t="s">
        <v>873</v>
      </c>
      <c r="I218" s="1" t="s">
        <v>99</v>
      </c>
      <c r="J218" s="1" t="s">
        <v>31</v>
      </c>
      <c r="K218" s="3"/>
      <c r="L218" s="1" t="s">
        <v>32</v>
      </c>
      <c r="M218" s="1" t="s">
        <v>33</v>
      </c>
      <c r="N218" s="1">
        <v>140000.0</v>
      </c>
      <c r="O218" s="1" t="s">
        <v>876</v>
      </c>
      <c r="P218" s="1" t="s">
        <v>53</v>
      </c>
      <c r="Q218" s="1" t="s">
        <v>36</v>
      </c>
      <c r="R218" s="1" t="s">
        <v>35</v>
      </c>
      <c r="S218" s="4" t="s">
        <v>63</v>
      </c>
      <c r="T218" s="1" t="s">
        <v>105</v>
      </c>
      <c r="U218" s="5">
        <f t="shared" si="130"/>
        <v>0</v>
      </c>
      <c r="V218" s="5">
        <f t="shared" si="131"/>
        <v>4</v>
      </c>
      <c r="W218" s="6">
        <f t="shared" si="132"/>
        <v>606550</v>
      </c>
      <c r="X218" s="6" t="str">
        <f t="shared" si="135"/>
        <v>R$600.000 - R$700.000</v>
      </c>
      <c r="Y218" s="6">
        <f t="shared" si="133"/>
        <v>606550</v>
      </c>
      <c r="Z218" s="3" t="str">
        <f t="shared" si="134"/>
        <v>R$600.000 - R$700.000</v>
      </c>
    </row>
    <row r="219">
      <c r="A219" s="1">
        <v>222510.0</v>
      </c>
      <c r="B219" s="1" t="s">
        <v>877</v>
      </c>
      <c r="C219" s="1" t="s">
        <v>878</v>
      </c>
      <c r="D219" s="1" t="s">
        <v>28</v>
      </c>
      <c r="E219" s="2">
        <v>19000.0</v>
      </c>
      <c r="F219" s="2">
        <v>22800.0</v>
      </c>
      <c r="G219" s="1" t="s">
        <v>29</v>
      </c>
      <c r="H219" s="1" t="s">
        <v>873</v>
      </c>
      <c r="I219" s="1" t="s">
        <v>879</v>
      </c>
      <c r="J219" s="1" t="s">
        <v>60</v>
      </c>
      <c r="K219" s="3"/>
      <c r="L219" s="1" t="s">
        <v>51</v>
      </c>
      <c r="M219" s="1" t="s">
        <v>33</v>
      </c>
      <c r="N219" s="1">
        <v>10998.0</v>
      </c>
      <c r="O219" s="1" t="s">
        <v>171</v>
      </c>
      <c r="P219" s="1" t="s">
        <v>35</v>
      </c>
      <c r="Q219" s="1" t="s">
        <v>172</v>
      </c>
      <c r="R219" s="1" t="s">
        <v>35</v>
      </c>
      <c r="S219" s="4" t="s">
        <v>63</v>
      </c>
      <c r="T219" s="1" t="s">
        <v>880</v>
      </c>
      <c r="U219" s="5">
        <f t="shared" si="130"/>
        <v>0.2</v>
      </c>
      <c r="V219" s="5">
        <f t="shared" si="131"/>
        <v>0</v>
      </c>
      <c r="W219" s="6">
        <f t="shared" si="132"/>
        <v>264268</v>
      </c>
      <c r="X219" s="6"/>
      <c r="Y219" s="6">
        <f t="shared" si="133"/>
        <v>317121.6</v>
      </c>
      <c r="Z219" s="3"/>
    </row>
    <row r="220">
      <c r="A220" s="1">
        <v>103800.0</v>
      </c>
      <c r="B220" s="1" t="s">
        <v>881</v>
      </c>
      <c r="C220" s="1" t="s">
        <v>882</v>
      </c>
      <c r="D220" s="1" t="s">
        <v>28</v>
      </c>
      <c r="E220" s="2">
        <v>16289.0</v>
      </c>
      <c r="F220" s="2">
        <v>19546.8</v>
      </c>
      <c r="G220" s="1" t="s">
        <v>29</v>
      </c>
      <c r="H220" s="1" t="s">
        <v>883</v>
      </c>
      <c r="I220" s="1" t="s">
        <v>884</v>
      </c>
      <c r="J220" s="1" t="s">
        <v>77</v>
      </c>
      <c r="K220" s="3"/>
      <c r="L220" s="1" t="s">
        <v>51</v>
      </c>
      <c r="M220" s="1" t="s">
        <v>33</v>
      </c>
      <c r="N220" s="1">
        <v>4000.0</v>
      </c>
      <c r="O220" s="1" t="s">
        <v>199</v>
      </c>
      <c r="P220" s="1" t="s">
        <v>53</v>
      </c>
      <c r="Q220" s="1" t="s">
        <v>36</v>
      </c>
      <c r="R220" s="1" t="s">
        <v>35</v>
      </c>
      <c r="S220" s="4" t="s">
        <v>63</v>
      </c>
      <c r="T220" s="1" t="s">
        <v>885</v>
      </c>
      <c r="U220" s="5">
        <f t="shared" si="130"/>
        <v>0.2</v>
      </c>
      <c r="V220" s="5">
        <f t="shared" si="131"/>
        <v>0</v>
      </c>
      <c r="W220" s="6">
        <f t="shared" si="132"/>
        <v>221132.37</v>
      </c>
      <c r="X220" s="6"/>
      <c r="Y220" s="6">
        <f t="shared" si="133"/>
        <v>265358.844</v>
      </c>
      <c r="Z220" s="3"/>
    </row>
    <row r="221">
      <c r="A221" s="1">
        <v>102912.0</v>
      </c>
      <c r="B221" s="1" t="s">
        <v>886</v>
      </c>
      <c r="C221" s="1" t="s">
        <v>887</v>
      </c>
      <c r="D221" s="1" t="s">
        <v>28</v>
      </c>
      <c r="E221" s="2">
        <v>25000.0</v>
      </c>
      <c r="F221" s="2">
        <v>30000.0</v>
      </c>
      <c r="G221" s="1" t="s">
        <v>29</v>
      </c>
      <c r="H221" s="1" t="s">
        <v>888</v>
      </c>
      <c r="I221" s="1" t="s">
        <v>889</v>
      </c>
      <c r="J221" s="1" t="s">
        <v>77</v>
      </c>
      <c r="K221" s="1" t="s">
        <v>890</v>
      </c>
      <c r="L221" s="1" t="s">
        <v>32</v>
      </c>
      <c r="M221" s="1" t="s">
        <v>33</v>
      </c>
      <c r="N221" s="1">
        <v>15000.0</v>
      </c>
      <c r="O221" s="1" t="s">
        <v>199</v>
      </c>
      <c r="P221" s="1" t="s">
        <v>35</v>
      </c>
      <c r="Q221" s="1" t="s">
        <v>36</v>
      </c>
      <c r="R221" s="1" t="s">
        <v>35</v>
      </c>
      <c r="S221" s="4" t="s">
        <v>63</v>
      </c>
      <c r="T221" s="1" t="s">
        <v>891</v>
      </c>
      <c r="U221" s="5">
        <f t="shared" si="130"/>
        <v>0.2</v>
      </c>
      <c r="V221" s="5">
        <f t="shared" si="131"/>
        <v>0</v>
      </c>
      <c r="W221" s="6">
        <f t="shared" si="132"/>
        <v>348250</v>
      </c>
      <c r="X221" s="6"/>
      <c r="Y221" s="6">
        <f t="shared" si="133"/>
        <v>417900</v>
      </c>
      <c r="Z221" s="3" t="str">
        <f>IF(Y221&lt;100000,"abaixo de R$100.000",IF(AND(Y221&gt;=100000,Y221&lt;200000),"R$100.000 - R$200.000",IF(AND(Y221&gt;=200000,Y221&lt;300000),"R$200.000 - R$300.000",IF(AND(Y221&gt;=300000,Y221&lt;400000),"R$300.000 - R$400.000",IF(AND(Y221&gt;=400000,Y221&lt;500000),"R$400.000 - R$500.000",IF(AND(Y221&gt;=500000,Y221&lt;600000),"R$500.000 - R$600.000",IF(AND(Y221&gt;=600000,Y221&lt;700000),"R$600.000 - R$700.000",IF(AND(Y221&gt;=700000,Y221&lt;800000),"R$700.000 - R$800.000",IF(AND(Y221&gt;=800000,Y221&lt;900000),"R$800.000 - R$900.000","Superior a R$900.000")))))))))</f>
        <v>R$400.000 - R$500.000</v>
      </c>
    </row>
    <row r="222">
      <c r="A222" s="1">
        <v>117776.0</v>
      </c>
      <c r="B222" s="1" t="s">
        <v>892</v>
      </c>
      <c r="C222" s="1" t="s">
        <v>893</v>
      </c>
      <c r="D222" s="1" t="s">
        <v>28</v>
      </c>
      <c r="E222" s="2">
        <v>18200.0</v>
      </c>
      <c r="F222" s="2">
        <v>20000.0</v>
      </c>
      <c r="G222" s="1" t="s">
        <v>29</v>
      </c>
      <c r="H222" s="1" t="s">
        <v>894</v>
      </c>
      <c r="I222" s="1" t="s">
        <v>895</v>
      </c>
      <c r="J222" s="1" t="s">
        <v>60</v>
      </c>
      <c r="K222" s="1" t="s">
        <v>268</v>
      </c>
      <c r="L222" s="1" t="s">
        <v>51</v>
      </c>
      <c r="M222" s="1" t="s">
        <v>33</v>
      </c>
      <c r="N222" s="1">
        <v>60000.0</v>
      </c>
      <c r="O222" s="1" t="s">
        <v>44</v>
      </c>
      <c r="P222" s="1" t="s">
        <v>53</v>
      </c>
      <c r="Q222" s="1" t="s">
        <v>172</v>
      </c>
      <c r="R222" s="1" t="s">
        <v>35</v>
      </c>
      <c r="S222" s="4" t="s">
        <v>63</v>
      </c>
      <c r="T222" s="1" t="s">
        <v>696</v>
      </c>
      <c r="U222" s="5">
        <f t="shared" si="130"/>
        <v>0.0989010989</v>
      </c>
      <c r="V222" s="5">
        <f t="shared" si="131"/>
        <v>3</v>
      </c>
      <c r="W222" s="6">
        <f t="shared" si="132"/>
        <v>302606</v>
      </c>
      <c r="X222" s="6"/>
      <c r="Y222" s="6">
        <f t="shared" si="133"/>
        <v>332534.0659</v>
      </c>
      <c r="Z222" s="3"/>
    </row>
    <row r="223">
      <c r="A223" s="1">
        <v>103825.0</v>
      </c>
      <c r="B223" s="1" t="s">
        <v>896</v>
      </c>
      <c r="C223" s="1" t="s">
        <v>897</v>
      </c>
      <c r="D223" s="1" t="s">
        <v>28</v>
      </c>
      <c r="E223" s="2">
        <v>18000.0</v>
      </c>
      <c r="F223" s="2">
        <v>25000.0</v>
      </c>
      <c r="G223" s="1" t="s">
        <v>29</v>
      </c>
      <c r="H223" s="1" t="s">
        <v>898</v>
      </c>
      <c r="I223" s="1" t="s">
        <v>899</v>
      </c>
      <c r="J223" s="1" t="s">
        <v>77</v>
      </c>
      <c r="K223" s="3"/>
      <c r="L223" s="1" t="s">
        <v>51</v>
      </c>
      <c r="M223" s="1" t="s">
        <v>69</v>
      </c>
      <c r="N223" s="1">
        <v>270000.0</v>
      </c>
      <c r="O223" s="1" t="s">
        <v>94</v>
      </c>
      <c r="P223" s="1" t="s">
        <v>53</v>
      </c>
      <c r="Q223" s="1" t="s">
        <v>54</v>
      </c>
      <c r="R223" s="1" t="s">
        <v>53</v>
      </c>
      <c r="S223" s="4" t="s">
        <v>63</v>
      </c>
      <c r="T223" s="1" t="s">
        <v>396</v>
      </c>
      <c r="U223" s="5">
        <f t="shared" si="130"/>
        <v>0.3888888889</v>
      </c>
      <c r="V223" s="5">
        <f t="shared" si="131"/>
        <v>15</v>
      </c>
      <c r="W223" s="6">
        <f t="shared" si="132"/>
        <v>509940</v>
      </c>
      <c r="X223" s="6" t="str">
        <f t="shared" ref="X223:X227" si="136">IF(W223&lt;100000,"abaixo de R$100.000",IF(AND(W223&gt;=100000,W223&lt;200000),"R$100.000 - R$200.000",IF(AND(W223&gt;=200000,W223&lt;300000),"R$200.000 - R$300.000",IF(AND(W223&gt;=300000,W223&lt;400000),"R$300.000 - R$400.000",IF(AND(W223&gt;=400000,W223&lt;500000),"R$400.000 - R$500.000",IF(AND(W223&gt;=500000,W223&lt;600000),"R$500.000 - R$600.000",IF(AND(W223&gt;=600000,W223&lt;700000),"R$600.000 - R$700.000",IF(AND(W223&gt;=700000,W223&lt;800000),"R$700.000 - R$800.000",IF(AND(W223&gt;=800000,W223&lt;900000),"R$800.000 - R$900.000","Superior a R$900.000")))))))))</f>
        <v>R$500.000 - R$600.000</v>
      </c>
      <c r="Y223" s="6">
        <f t="shared" si="133"/>
        <v>708250</v>
      </c>
      <c r="Z223" s="3" t="str">
        <f t="shared" ref="Z223:Z227" si="137">IF(Y223&lt;100000,"abaixo de R$100.000",IF(AND(Y223&gt;=100000,Y223&lt;200000),"R$100.000 - R$200.000",IF(AND(Y223&gt;=200000,Y223&lt;300000),"R$200.000 - R$300.000",IF(AND(Y223&gt;=300000,Y223&lt;400000),"R$300.000 - R$400.000",IF(AND(Y223&gt;=400000,Y223&lt;500000),"R$400.000 - R$500.000",IF(AND(Y223&gt;=500000,Y223&lt;600000),"R$500.000 - R$600.000",IF(AND(Y223&gt;=600000,Y223&lt;700000),"R$600.000 - R$700.000",IF(AND(Y223&gt;=700000,Y223&lt;800000),"R$700.000 - R$800.000",IF(AND(Y223&gt;=800000,Y223&lt;900000),"R$800.000 - R$900.000","Superior a R$900.000")))))))))</f>
        <v>R$700.000 - R$800.000</v>
      </c>
    </row>
    <row r="224">
      <c r="A224" s="1">
        <v>103621.0</v>
      </c>
      <c r="B224" s="1" t="s">
        <v>900</v>
      </c>
      <c r="C224" s="1" t="s">
        <v>901</v>
      </c>
      <c r="D224" s="1" t="s">
        <v>28</v>
      </c>
      <c r="E224" s="2">
        <v>33000.0</v>
      </c>
      <c r="F224" s="2">
        <v>38000.0</v>
      </c>
      <c r="G224" s="1" t="s">
        <v>29</v>
      </c>
      <c r="H224" s="1" t="s">
        <v>898</v>
      </c>
      <c r="I224" s="1" t="s">
        <v>243</v>
      </c>
      <c r="J224" s="1" t="s">
        <v>50</v>
      </c>
      <c r="K224" s="1" t="s">
        <v>452</v>
      </c>
      <c r="L224" s="1" t="s">
        <v>32</v>
      </c>
      <c r="M224" s="1" t="s">
        <v>33</v>
      </c>
      <c r="N224" s="1">
        <v>100000.0</v>
      </c>
      <c r="O224" s="1" t="s">
        <v>34</v>
      </c>
      <c r="P224" s="1" t="s">
        <v>53</v>
      </c>
      <c r="Q224" s="1" t="s">
        <v>36</v>
      </c>
      <c r="R224" s="1" t="s">
        <v>35</v>
      </c>
      <c r="S224" s="4" t="s">
        <v>63</v>
      </c>
      <c r="T224" s="1" t="s">
        <v>902</v>
      </c>
      <c r="U224" s="5">
        <f t="shared" si="130"/>
        <v>0.1515151515</v>
      </c>
      <c r="V224" s="5">
        <f t="shared" si="131"/>
        <v>3</v>
      </c>
      <c r="W224" s="6">
        <f t="shared" si="132"/>
        <v>539890</v>
      </c>
      <c r="X224" s="6" t="str">
        <f t="shared" si="136"/>
        <v>R$500.000 - R$600.000</v>
      </c>
      <c r="Y224" s="6">
        <f t="shared" si="133"/>
        <v>621691.5152</v>
      </c>
      <c r="Z224" s="3" t="str">
        <f t="shared" si="137"/>
        <v>R$600.000 - R$700.000</v>
      </c>
    </row>
    <row r="225">
      <c r="A225" s="1">
        <v>120248.0</v>
      </c>
      <c r="B225" s="1" t="s">
        <v>903</v>
      </c>
      <c r="C225" s="1" t="s">
        <v>904</v>
      </c>
      <c r="D225" s="1" t="s">
        <v>28</v>
      </c>
      <c r="E225" s="2">
        <v>35000.0</v>
      </c>
      <c r="F225" s="2">
        <v>40000.0</v>
      </c>
      <c r="G225" s="1" t="s">
        <v>29</v>
      </c>
      <c r="H225" s="1" t="s">
        <v>898</v>
      </c>
      <c r="I225" s="1" t="s">
        <v>243</v>
      </c>
      <c r="J225" s="1" t="s">
        <v>50</v>
      </c>
      <c r="K225" s="3"/>
      <c r="L225" s="1" t="s">
        <v>51</v>
      </c>
      <c r="M225" s="1" t="s">
        <v>52</v>
      </c>
      <c r="N225" s="1">
        <v>100000.0</v>
      </c>
      <c r="O225" s="1" t="s">
        <v>44</v>
      </c>
      <c r="P225" s="1" t="s">
        <v>53</v>
      </c>
      <c r="Q225" s="1" t="s">
        <v>54</v>
      </c>
      <c r="R225" s="1" t="s">
        <v>35</v>
      </c>
      <c r="S225" s="4" t="s">
        <v>63</v>
      </c>
      <c r="T225" s="1" t="s">
        <v>712</v>
      </c>
      <c r="U225" s="5">
        <f t="shared" si="130"/>
        <v>0.1428571429</v>
      </c>
      <c r="V225" s="5">
        <f t="shared" si="131"/>
        <v>2</v>
      </c>
      <c r="W225" s="6">
        <f t="shared" si="132"/>
        <v>566550</v>
      </c>
      <c r="X225" s="6" t="str">
        <f t="shared" si="136"/>
        <v>R$500.000 - R$600.000</v>
      </c>
      <c r="Y225" s="6">
        <f t="shared" si="133"/>
        <v>647485.7143</v>
      </c>
      <c r="Z225" s="3" t="str">
        <f t="shared" si="137"/>
        <v>R$600.000 - R$700.000</v>
      </c>
    </row>
    <row r="226">
      <c r="A226" s="1">
        <v>222645.0</v>
      </c>
      <c r="B226" s="1" t="s">
        <v>905</v>
      </c>
      <c r="C226" s="1" t="s">
        <v>906</v>
      </c>
      <c r="D226" s="1" t="s">
        <v>28</v>
      </c>
      <c r="E226" s="2">
        <v>35000.0</v>
      </c>
      <c r="F226" s="2">
        <f>E226*1.12</f>
        <v>39200</v>
      </c>
      <c r="G226" s="1" t="s">
        <v>29</v>
      </c>
      <c r="H226" s="1" t="s">
        <v>898</v>
      </c>
      <c r="I226" s="1" t="s">
        <v>148</v>
      </c>
      <c r="J226" s="1" t="s">
        <v>77</v>
      </c>
      <c r="K226" s="3"/>
      <c r="L226" s="1" t="s">
        <v>32</v>
      </c>
      <c r="M226" s="1" t="s">
        <v>52</v>
      </c>
      <c r="N226" s="1">
        <v>150000.0</v>
      </c>
      <c r="O226" s="1" t="s">
        <v>70</v>
      </c>
      <c r="P226" s="1" t="s">
        <v>53</v>
      </c>
      <c r="Q226" s="1" t="s">
        <v>54</v>
      </c>
      <c r="R226" s="1" t="s">
        <v>35</v>
      </c>
      <c r="S226" s="4" t="s">
        <v>63</v>
      </c>
      <c r="T226" s="1" t="s">
        <v>153</v>
      </c>
      <c r="U226" s="5">
        <f t="shared" si="130"/>
        <v>0.12</v>
      </c>
      <c r="V226" s="5">
        <f t="shared" si="131"/>
        <v>4</v>
      </c>
      <c r="W226" s="6">
        <f t="shared" si="132"/>
        <v>616550</v>
      </c>
      <c r="X226" s="6" t="str">
        <f t="shared" si="136"/>
        <v>R$600.000 - R$700.000</v>
      </c>
      <c r="Y226" s="6">
        <f t="shared" si="133"/>
        <v>690536</v>
      </c>
      <c r="Z226" s="3" t="str">
        <f t="shared" si="137"/>
        <v>R$600.000 - R$700.000</v>
      </c>
    </row>
    <row r="227">
      <c r="A227" s="1">
        <v>222865.0</v>
      </c>
      <c r="B227" s="1" t="s">
        <v>907</v>
      </c>
      <c r="C227" s="1" t="s">
        <v>908</v>
      </c>
      <c r="D227" s="1" t="s">
        <v>28</v>
      </c>
      <c r="E227" s="2">
        <v>100000.0</v>
      </c>
      <c r="F227" s="2">
        <f>E227*1.2</f>
        <v>120000</v>
      </c>
      <c r="G227" s="1" t="s">
        <v>29</v>
      </c>
      <c r="H227" s="1" t="s">
        <v>898</v>
      </c>
      <c r="I227" s="1" t="s">
        <v>31</v>
      </c>
      <c r="J227" s="1" t="s">
        <v>31</v>
      </c>
      <c r="K227" s="3"/>
      <c r="L227" s="1" t="s">
        <v>32</v>
      </c>
      <c r="M227" s="1" t="s">
        <v>33</v>
      </c>
      <c r="N227" s="1">
        <v>500000.0</v>
      </c>
      <c r="O227" s="1" t="s">
        <v>280</v>
      </c>
      <c r="P227" s="1" t="s">
        <v>35</v>
      </c>
      <c r="Q227" s="1" t="s">
        <v>36</v>
      </c>
      <c r="R227" s="1" t="s">
        <v>35</v>
      </c>
      <c r="S227" s="4" t="s">
        <v>381</v>
      </c>
      <c r="T227" s="1" t="s">
        <v>909</v>
      </c>
      <c r="U227" s="5">
        <f t="shared" si="130"/>
        <v>0.2</v>
      </c>
      <c r="V227" s="5">
        <f t="shared" si="131"/>
        <v>5</v>
      </c>
      <c r="W227" s="6">
        <f t="shared" si="132"/>
        <v>1833000</v>
      </c>
      <c r="X227" s="6" t="str">
        <f t="shared" si="136"/>
        <v>Superior a R$900.000</v>
      </c>
      <c r="Y227" s="6">
        <f t="shared" si="133"/>
        <v>2199600</v>
      </c>
      <c r="Z227" s="3" t="str">
        <f t="shared" si="137"/>
        <v>Superior a R$900.000</v>
      </c>
    </row>
    <row r="228">
      <c r="A228" s="1">
        <v>222661.0</v>
      </c>
      <c r="B228" s="1" t="s">
        <v>910</v>
      </c>
      <c r="C228" s="1" t="s">
        <v>911</v>
      </c>
      <c r="D228" s="1" t="s">
        <v>28</v>
      </c>
      <c r="E228" s="2">
        <v>13000.0</v>
      </c>
      <c r="F228" s="2">
        <v>15000.0</v>
      </c>
      <c r="G228" s="1" t="s">
        <v>29</v>
      </c>
      <c r="H228" s="1" t="s">
        <v>898</v>
      </c>
      <c r="I228" s="1" t="s">
        <v>212</v>
      </c>
      <c r="J228" s="1" t="s">
        <v>60</v>
      </c>
      <c r="K228" s="3"/>
      <c r="L228" s="1" t="s">
        <v>32</v>
      </c>
      <c r="M228" s="1" t="s">
        <v>33</v>
      </c>
      <c r="N228" s="1">
        <v>156000.0</v>
      </c>
      <c r="O228" s="1" t="s">
        <v>78</v>
      </c>
      <c r="P228" s="1" t="s">
        <v>35</v>
      </c>
      <c r="Q228" s="1" t="s">
        <v>36</v>
      </c>
      <c r="R228" s="1" t="s">
        <v>35</v>
      </c>
      <c r="S228" s="4" t="s">
        <v>63</v>
      </c>
      <c r="T228" s="1" t="s">
        <v>912</v>
      </c>
      <c r="U228" s="5">
        <f t="shared" si="130"/>
        <v>0.1538461538</v>
      </c>
      <c r="V228" s="5">
        <f t="shared" si="131"/>
        <v>12</v>
      </c>
      <c r="W228" s="6">
        <f t="shared" si="132"/>
        <v>329290</v>
      </c>
      <c r="X228" s="6"/>
      <c r="Y228" s="6">
        <f t="shared" si="133"/>
        <v>379950</v>
      </c>
      <c r="Z228" s="3"/>
    </row>
    <row r="229">
      <c r="A229" s="1">
        <v>222355.0</v>
      </c>
      <c r="B229" s="1" t="s">
        <v>913</v>
      </c>
      <c r="C229" s="1" t="s">
        <v>914</v>
      </c>
      <c r="D229" s="1" t="s">
        <v>28</v>
      </c>
      <c r="E229" s="2">
        <v>15000.0</v>
      </c>
      <c r="F229" s="2">
        <v>18000.0</v>
      </c>
      <c r="G229" s="1" t="s">
        <v>29</v>
      </c>
      <c r="H229" s="1" t="s">
        <v>898</v>
      </c>
      <c r="I229" s="1" t="s">
        <v>279</v>
      </c>
      <c r="J229" s="1" t="s">
        <v>77</v>
      </c>
      <c r="K229" s="3"/>
      <c r="L229" s="1" t="s">
        <v>32</v>
      </c>
      <c r="M229" s="1" t="s">
        <v>33</v>
      </c>
      <c r="N229" s="1">
        <v>20000.0</v>
      </c>
      <c r="O229" s="1" t="s">
        <v>62</v>
      </c>
      <c r="P229" s="1" t="s">
        <v>35</v>
      </c>
      <c r="Q229" s="1" t="s">
        <v>36</v>
      </c>
      <c r="R229" s="1" t="s">
        <v>35</v>
      </c>
      <c r="S229" s="4" t="s">
        <v>63</v>
      </c>
      <c r="T229" s="1" t="s">
        <v>386</v>
      </c>
      <c r="U229" s="5">
        <f t="shared" si="130"/>
        <v>0.2</v>
      </c>
      <c r="V229" s="5">
        <f t="shared" si="131"/>
        <v>1</v>
      </c>
      <c r="W229" s="6">
        <f t="shared" si="132"/>
        <v>219950</v>
      </c>
      <c r="X229" s="6"/>
      <c r="Y229" s="6">
        <f t="shared" si="133"/>
        <v>263940</v>
      </c>
      <c r="Z229" s="3"/>
    </row>
    <row r="230">
      <c r="A230" s="1">
        <v>222877.0</v>
      </c>
      <c r="B230" s="1" t="s">
        <v>915</v>
      </c>
      <c r="C230" s="1" t="s">
        <v>916</v>
      </c>
      <c r="D230" s="1" t="s">
        <v>28</v>
      </c>
      <c r="E230" s="2">
        <v>18000.0</v>
      </c>
      <c r="F230" s="2">
        <v>18000.0</v>
      </c>
      <c r="G230" s="1" t="s">
        <v>75</v>
      </c>
      <c r="H230" s="1" t="s">
        <v>898</v>
      </c>
      <c r="I230" s="1" t="s">
        <v>917</v>
      </c>
      <c r="J230" s="1" t="s">
        <v>31</v>
      </c>
      <c r="K230" s="3"/>
      <c r="L230" s="1" t="s">
        <v>32</v>
      </c>
      <c r="M230" s="1" t="s">
        <v>52</v>
      </c>
      <c r="N230" s="1">
        <v>20000.0</v>
      </c>
      <c r="O230" s="1" t="s">
        <v>199</v>
      </c>
      <c r="P230" s="1" t="s">
        <v>35</v>
      </c>
      <c r="Q230" s="1" t="s">
        <v>36</v>
      </c>
      <c r="R230" s="1" t="s">
        <v>35</v>
      </c>
      <c r="S230" s="4" t="s">
        <v>63</v>
      </c>
      <c r="T230" s="1" t="s">
        <v>918</v>
      </c>
      <c r="U230" s="5">
        <f t="shared" si="130"/>
        <v>0</v>
      </c>
      <c r="V230" s="5">
        <f t="shared" si="131"/>
        <v>1</v>
      </c>
      <c r="W230" s="6">
        <f t="shared" si="132"/>
        <v>259940</v>
      </c>
      <c r="X230" s="6"/>
      <c r="Y230" s="6">
        <f t="shared" si="133"/>
        <v>259940</v>
      </c>
      <c r="Z230" s="3"/>
    </row>
    <row r="231">
      <c r="A231" s="1">
        <v>145044.0</v>
      </c>
      <c r="B231" s="1" t="s">
        <v>919</v>
      </c>
      <c r="C231" s="1" t="s">
        <v>920</v>
      </c>
      <c r="D231" s="1" t="s">
        <v>28</v>
      </c>
      <c r="E231" s="2">
        <v>19300.0</v>
      </c>
      <c r="F231" s="2">
        <v>25000.0</v>
      </c>
      <c r="G231" s="1" t="s">
        <v>29</v>
      </c>
      <c r="H231" s="1" t="s">
        <v>898</v>
      </c>
      <c r="I231" s="1" t="s">
        <v>411</v>
      </c>
      <c r="J231" s="1" t="s">
        <v>60</v>
      </c>
      <c r="K231" s="3"/>
      <c r="L231" s="1" t="s">
        <v>51</v>
      </c>
      <c r="M231" s="1" t="s">
        <v>33</v>
      </c>
      <c r="N231" s="1">
        <v>25000.0</v>
      </c>
      <c r="O231" s="1" t="s">
        <v>34</v>
      </c>
      <c r="P231" s="1" t="s">
        <v>53</v>
      </c>
      <c r="Q231" s="1" t="s">
        <v>54</v>
      </c>
      <c r="R231" s="1" t="s">
        <v>35</v>
      </c>
      <c r="S231" s="4" t="s">
        <v>63</v>
      </c>
      <c r="T231" s="1" t="s">
        <v>921</v>
      </c>
      <c r="U231" s="5">
        <f t="shared" si="130"/>
        <v>0.2953367876</v>
      </c>
      <c r="V231" s="5">
        <f t="shared" si="131"/>
        <v>1</v>
      </c>
      <c r="W231" s="6">
        <f t="shared" si="132"/>
        <v>282269</v>
      </c>
      <c r="X231" s="6"/>
      <c r="Y231" s="6">
        <f t="shared" si="133"/>
        <v>365633.4197</v>
      </c>
      <c r="Z231" s="3"/>
    </row>
    <row r="232">
      <c r="A232" s="1">
        <v>105050.0</v>
      </c>
      <c r="B232" s="1" t="s">
        <v>922</v>
      </c>
      <c r="C232" s="1" t="s">
        <v>923</v>
      </c>
      <c r="D232" s="1" t="s">
        <v>28</v>
      </c>
      <c r="E232" s="2">
        <v>20000.0</v>
      </c>
      <c r="F232" s="2">
        <v>20000.0</v>
      </c>
      <c r="G232" s="1" t="s">
        <v>29</v>
      </c>
      <c r="H232" s="1" t="s">
        <v>898</v>
      </c>
      <c r="I232" s="1" t="s">
        <v>148</v>
      </c>
      <c r="J232" s="1" t="s">
        <v>77</v>
      </c>
      <c r="K232" s="3"/>
      <c r="L232" s="1" t="s">
        <v>32</v>
      </c>
      <c r="M232" s="1" t="s">
        <v>52</v>
      </c>
      <c r="N232" s="1">
        <v>100000.0</v>
      </c>
      <c r="O232" s="1" t="s">
        <v>199</v>
      </c>
      <c r="P232" s="1" t="s">
        <v>35</v>
      </c>
      <c r="Q232" s="1" t="s">
        <v>36</v>
      </c>
      <c r="R232" s="1" t="s">
        <v>35</v>
      </c>
      <c r="S232" s="4" t="s">
        <v>63</v>
      </c>
      <c r="T232" s="1" t="s">
        <v>787</v>
      </c>
      <c r="U232" s="5">
        <f t="shared" si="130"/>
        <v>0</v>
      </c>
      <c r="V232" s="5">
        <f t="shared" si="131"/>
        <v>5</v>
      </c>
      <c r="W232" s="6">
        <f t="shared" si="132"/>
        <v>366600</v>
      </c>
      <c r="X232" s="6"/>
      <c r="Y232" s="6">
        <f t="shared" si="133"/>
        <v>366600</v>
      </c>
      <c r="Z232" s="3"/>
    </row>
    <row r="233">
      <c r="A233" s="1">
        <v>215819.0</v>
      </c>
      <c r="B233" s="1" t="s">
        <v>924</v>
      </c>
      <c r="C233" s="1" t="s">
        <v>925</v>
      </c>
      <c r="D233" s="1" t="s">
        <v>28</v>
      </c>
      <c r="E233" s="2">
        <v>20000.0</v>
      </c>
      <c r="F233" s="2">
        <v>23999.0</v>
      </c>
      <c r="G233" s="1" t="s">
        <v>29</v>
      </c>
      <c r="H233" s="1" t="s">
        <v>898</v>
      </c>
      <c r="I233" s="1" t="s">
        <v>243</v>
      </c>
      <c r="J233" s="1" t="s">
        <v>50</v>
      </c>
      <c r="K233" s="3"/>
      <c r="L233" s="1" t="s">
        <v>32</v>
      </c>
      <c r="M233" s="1" t="s">
        <v>33</v>
      </c>
      <c r="N233" s="1">
        <v>0.0</v>
      </c>
      <c r="O233" s="1" t="s">
        <v>62</v>
      </c>
      <c r="P233" s="1" t="s">
        <v>35</v>
      </c>
      <c r="Q233" s="1" t="s">
        <v>36</v>
      </c>
      <c r="R233" s="1" t="s">
        <v>35</v>
      </c>
      <c r="S233" s="4" t="s">
        <v>63</v>
      </c>
      <c r="T233" s="1" t="s">
        <v>926</v>
      </c>
      <c r="U233" s="5">
        <f t="shared" si="130"/>
        <v>0.19995</v>
      </c>
      <c r="V233" s="5">
        <f t="shared" si="131"/>
        <v>0</v>
      </c>
      <c r="W233" s="6">
        <f t="shared" si="132"/>
        <v>266600</v>
      </c>
      <c r="X233" s="6"/>
      <c r="Y233" s="6">
        <f t="shared" si="133"/>
        <v>319906.67</v>
      </c>
      <c r="Z233" s="3"/>
    </row>
    <row r="234">
      <c r="A234" s="1">
        <v>217112.0</v>
      </c>
      <c r="B234" s="1" t="s">
        <v>927</v>
      </c>
      <c r="C234" s="1" t="s">
        <v>928</v>
      </c>
      <c r="D234" s="1" t="s">
        <v>28</v>
      </c>
      <c r="E234" s="2">
        <v>24000.0</v>
      </c>
      <c r="F234" s="2">
        <v>25000.0</v>
      </c>
      <c r="G234" s="1" t="s">
        <v>75</v>
      </c>
      <c r="H234" s="1" t="s">
        <v>898</v>
      </c>
      <c r="I234" s="1" t="s">
        <v>929</v>
      </c>
      <c r="J234" s="1" t="s">
        <v>60</v>
      </c>
      <c r="K234" s="3"/>
      <c r="L234" s="1" t="s">
        <v>51</v>
      </c>
      <c r="M234" s="1" t="s">
        <v>52</v>
      </c>
      <c r="N234" s="1">
        <v>75000.0</v>
      </c>
      <c r="O234" s="1" t="s">
        <v>44</v>
      </c>
      <c r="P234" s="1" t="s">
        <v>53</v>
      </c>
      <c r="Q234" s="1" t="s">
        <v>54</v>
      </c>
      <c r="R234" s="1" t="s">
        <v>35</v>
      </c>
      <c r="S234" s="4" t="s">
        <v>63</v>
      </c>
      <c r="T234" s="1" t="s">
        <v>930</v>
      </c>
      <c r="U234" s="5">
        <f t="shared" si="130"/>
        <v>0.04166666667</v>
      </c>
      <c r="V234" s="5">
        <f t="shared" si="131"/>
        <v>3</v>
      </c>
      <c r="W234" s="6">
        <f t="shared" si="132"/>
        <v>394920</v>
      </c>
      <c r="X234" s="6"/>
      <c r="Y234" s="6">
        <f t="shared" si="133"/>
        <v>411375</v>
      </c>
      <c r="Z234" s="3" t="str">
        <f>IF(Y234&lt;100000,"abaixo de R$100.000",IF(AND(Y234&gt;=100000,Y234&lt;200000),"R$100.000 - R$200.000",IF(AND(Y234&gt;=200000,Y234&lt;300000),"R$200.000 - R$300.000",IF(AND(Y234&gt;=300000,Y234&lt;400000),"R$300.000 - R$400.000",IF(AND(Y234&gt;=400000,Y234&lt;500000),"R$400.000 - R$500.000",IF(AND(Y234&gt;=500000,Y234&lt;600000),"R$500.000 - R$600.000",IF(AND(Y234&gt;=600000,Y234&lt;700000),"R$600.000 - R$700.000",IF(AND(Y234&gt;=700000,Y234&lt;800000),"R$700.000 - R$800.000",IF(AND(Y234&gt;=800000,Y234&lt;900000),"R$800.000 - R$900.000","Superior a R$900.000")))))))))</f>
        <v>R$400.000 - R$500.000</v>
      </c>
    </row>
    <row r="235">
      <c r="A235" s="1">
        <v>222844.0</v>
      </c>
      <c r="B235" s="1" t="s">
        <v>931</v>
      </c>
      <c r="C235" s="1" t="s">
        <v>932</v>
      </c>
      <c r="D235" s="1" t="s">
        <v>28</v>
      </c>
      <c r="E235" s="2">
        <v>25000.0</v>
      </c>
      <c r="F235" s="2">
        <f>E235*1.2</f>
        <v>30000</v>
      </c>
      <c r="G235" s="1" t="s">
        <v>29</v>
      </c>
      <c r="H235" s="1" t="s">
        <v>898</v>
      </c>
      <c r="I235" s="1" t="s">
        <v>329</v>
      </c>
      <c r="J235" s="1" t="s">
        <v>77</v>
      </c>
      <c r="K235" s="3"/>
      <c r="L235" s="1" t="s">
        <v>51</v>
      </c>
      <c r="M235" s="1" t="s">
        <v>52</v>
      </c>
      <c r="N235" s="1">
        <v>0.0</v>
      </c>
      <c r="O235" s="1" t="s">
        <v>70</v>
      </c>
      <c r="P235" s="1" t="s">
        <v>53</v>
      </c>
      <c r="Q235" s="1" t="s">
        <v>172</v>
      </c>
      <c r="R235" s="1" t="s">
        <v>53</v>
      </c>
      <c r="S235" s="4" t="s">
        <v>63</v>
      </c>
      <c r="T235" s="1" t="s">
        <v>269</v>
      </c>
      <c r="U235" s="5">
        <f t="shared" si="130"/>
        <v>0.2</v>
      </c>
      <c r="V235" s="5">
        <f t="shared" si="131"/>
        <v>0</v>
      </c>
      <c r="W235" s="6">
        <f t="shared" si="132"/>
        <v>333250</v>
      </c>
      <c r="X235" s="6"/>
      <c r="Y235" s="6">
        <f t="shared" si="133"/>
        <v>399900</v>
      </c>
      <c r="Z235" s="3"/>
    </row>
    <row r="236">
      <c r="A236" s="1">
        <v>108893.0</v>
      </c>
      <c r="B236" s="1" t="s">
        <v>933</v>
      </c>
      <c r="C236" s="1" t="s">
        <v>934</v>
      </c>
      <c r="D236" s="1" t="s">
        <v>28</v>
      </c>
      <c r="E236" s="2">
        <v>25000.0</v>
      </c>
      <c r="F236" s="2">
        <v>30000.0</v>
      </c>
      <c r="G236" s="1" t="s">
        <v>29</v>
      </c>
      <c r="H236" s="1" t="s">
        <v>898</v>
      </c>
      <c r="I236" s="1" t="s">
        <v>99</v>
      </c>
      <c r="J236" s="1" t="s">
        <v>31</v>
      </c>
      <c r="K236" s="1" t="s">
        <v>68</v>
      </c>
      <c r="L236" s="1" t="s">
        <v>32</v>
      </c>
      <c r="M236" s="1" t="s">
        <v>52</v>
      </c>
      <c r="N236" s="1">
        <v>25000.0</v>
      </c>
      <c r="O236" s="1" t="s">
        <v>104</v>
      </c>
      <c r="P236" s="1" t="s">
        <v>53</v>
      </c>
      <c r="Q236" s="1" t="s">
        <v>36</v>
      </c>
      <c r="R236" s="1" t="s">
        <v>35</v>
      </c>
      <c r="S236" s="4" t="s">
        <v>63</v>
      </c>
      <c r="T236" s="1" t="s">
        <v>935</v>
      </c>
      <c r="U236" s="5">
        <f t="shared" si="130"/>
        <v>0.2</v>
      </c>
      <c r="V236" s="5">
        <f t="shared" si="131"/>
        <v>1</v>
      </c>
      <c r="W236" s="6">
        <f t="shared" si="132"/>
        <v>358250</v>
      </c>
      <c r="X236" s="6"/>
      <c r="Y236" s="6">
        <f t="shared" si="133"/>
        <v>429900</v>
      </c>
      <c r="Z236" s="3" t="str">
        <f t="shared" ref="Z236:Z239" si="138">IF(Y236&lt;100000,"abaixo de R$100.000",IF(AND(Y236&gt;=100000,Y236&lt;200000),"R$100.000 - R$200.000",IF(AND(Y236&gt;=200000,Y236&lt;300000),"R$200.000 - R$300.000",IF(AND(Y236&gt;=300000,Y236&lt;400000),"R$300.000 - R$400.000",IF(AND(Y236&gt;=400000,Y236&lt;500000),"R$400.000 - R$500.000",IF(AND(Y236&gt;=500000,Y236&lt;600000),"R$500.000 - R$600.000",IF(AND(Y236&gt;=600000,Y236&lt;700000),"R$600.000 - R$700.000",IF(AND(Y236&gt;=700000,Y236&lt;800000),"R$700.000 - R$800.000",IF(AND(Y236&gt;=800000,Y236&lt;900000),"R$800.000 - R$900.000","Superior a R$900.000")))))))))</f>
        <v>R$400.000 - R$500.000</v>
      </c>
    </row>
    <row r="237">
      <c r="A237" s="1">
        <v>216129.0</v>
      </c>
      <c r="B237" s="1" t="s">
        <v>936</v>
      </c>
      <c r="C237" s="1" t="s">
        <v>937</v>
      </c>
      <c r="D237" s="1" t="s">
        <v>28</v>
      </c>
      <c r="E237" s="2">
        <v>30000.0</v>
      </c>
      <c r="F237" s="2">
        <v>30000.0</v>
      </c>
      <c r="G237" s="1" t="s">
        <v>29</v>
      </c>
      <c r="H237" s="1" t="s">
        <v>938</v>
      </c>
      <c r="I237" s="1" t="s">
        <v>492</v>
      </c>
      <c r="J237" s="1" t="s">
        <v>77</v>
      </c>
      <c r="K237" s="3"/>
      <c r="L237" s="1" t="s">
        <v>32</v>
      </c>
      <c r="M237" s="1" t="s">
        <v>33</v>
      </c>
      <c r="N237" s="1">
        <v>200000.0</v>
      </c>
      <c r="O237" s="1" t="s">
        <v>62</v>
      </c>
      <c r="P237" s="1" t="s">
        <v>35</v>
      </c>
      <c r="Q237" s="1" t="s">
        <v>54</v>
      </c>
      <c r="R237" s="1" t="s">
        <v>35</v>
      </c>
      <c r="S237" s="4" t="s">
        <v>63</v>
      </c>
      <c r="T237" s="1" t="s">
        <v>404</v>
      </c>
      <c r="U237" s="5">
        <f t="shared" si="130"/>
        <v>0</v>
      </c>
      <c r="V237" s="5">
        <f t="shared" si="131"/>
        <v>6</v>
      </c>
      <c r="W237" s="6">
        <f t="shared" si="132"/>
        <v>599900</v>
      </c>
      <c r="X237" s="6" t="str">
        <f t="shared" ref="X237:X239" si="139">IF(W237&lt;100000,"abaixo de R$100.000",IF(AND(W237&gt;=100000,W237&lt;200000),"R$100.000 - R$200.000",IF(AND(W237&gt;=200000,W237&lt;300000),"R$200.000 - R$300.000",IF(AND(W237&gt;=300000,W237&lt;400000),"R$300.000 - R$400.000",IF(AND(W237&gt;=400000,W237&lt;500000),"R$400.000 - R$500.000",IF(AND(W237&gt;=500000,W237&lt;600000),"R$500.000 - R$600.000",IF(AND(W237&gt;=600000,W237&lt;700000),"R$600.000 - R$700.000",IF(AND(W237&gt;=700000,W237&lt;800000),"R$700.000 - R$800.000",IF(AND(W237&gt;=800000,W237&lt;900000),"R$800.000 - R$900.000","Superior a R$900.000")))))))))</f>
        <v>R$500.000 - R$600.000</v>
      </c>
      <c r="Y237" s="6">
        <f t="shared" si="133"/>
        <v>599900</v>
      </c>
      <c r="Z237" s="3" t="str">
        <f t="shared" si="138"/>
        <v>R$500.000 - R$600.000</v>
      </c>
    </row>
    <row r="238">
      <c r="A238" s="1">
        <v>145912.0</v>
      </c>
      <c r="B238" s="1" t="s">
        <v>939</v>
      </c>
      <c r="C238" s="1" t="s">
        <v>940</v>
      </c>
      <c r="D238" s="1" t="s">
        <v>28</v>
      </c>
      <c r="E238" s="2">
        <v>30000.0</v>
      </c>
      <c r="F238" s="2">
        <v>36000.0</v>
      </c>
      <c r="G238" s="1" t="s">
        <v>29</v>
      </c>
      <c r="H238" s="1" t="s">
        <v>938</v>
      </c>
      <c r="I238" s="1" t="s">
        <v>148</v>
      </c>
      <c r="J238" s="1" t="s">
        <v>77</v>
      </c>
      <c r="K238" s="3"/>
      <c r="L238" s="1" t="s">
        <v>32</v>
      </c>
      <c r="M238" s="1" t="s">
        <v>33</v>
      </c>
      <c r="N238" s="1">
        <v>150000.0</v>
      </c>
      <c r="O238" s="1" t="s">
        <v>171</v>
      </c>
      <c r="P238" s="1" t="s">
        <v>35</v>
      </c>
      <c r="Q238" s="1" t="s">
        <v>36</v>
      </c>
      <c r="R238" s="1" t="s">
        <v>35</v>
      </c>
      <c r="S238" s="4" t="s">
        <v>63</v>
      </c>
      <c r="T238" s="1" t="s">
        <v>400</v>
      </c>
      <c r="U238" s="5">
        <f t="shared" si="130"/>
        <v>0.2</v>
      </c>
      <c r="V238" s="5">
        <f t="shared" si="131"/>
        <v>5</v>
      </c>
      <c r="W238" s="6">
        <f t="shared" si="132"/>
        <v>549900</v>
      </c>
      <c r="X238" s="6" t="str">
        <f t="shared" si="139"/>
        <v>R$500.000 - R$600.000</v>
      </c>
      <c r="Y238" s="6">
        <f t="shared" si="133"/>
        <v>659880</v>
      </c>
      <c r="Z238" s="3" t="str">
        <f t="shared" si="138"/>
        <v>R$600.000 - R$700.000</v>
      </c>
    </row>
    <row r="239">
      <c r="A239" s="1">
        <v>113655.0</v>
      </c>
      <c r="B239" s="1" t="s">
        <v>941</v>
      </c>
      <c r="C239" s="1" t="s">
        <v>942</v>
      </c>
      <c r="D239" s="1" t="s">
        <v>28</v>
      </c>
      <c r="E239" s="2">
        <v>32000.0</v>
      </c>
      <c r="F239" s="2">
        <v>32000.0</v>
      </c>
      <c r="G239" s="1" t="s">
        <v>29</v>
      </c>
      <c r="I239" s="1" t="s">
        <v>99</v>
      </c>
      <c r="J239" s="1" t="s">
        <v>31</v>
      </c>
      <c r="K239" s="1" t="s">
        <v>943</v>
      </c>
      <c r="L239" s="1" t="s">
        <v>32</v>
      </c>
      <c r="M239" s="1" t="s">
        <v>33</v>
      </c>
      <c r="N239" s="1">
        <v>60000.0</v>
      </c>
      <c r="O239" s="1" t="s">
        <v>199</v>
      </c>
      <c r="P239" s="1" t="s">
        <v>35</v>
      </c>
      <c r="Q239" s="1" t="s">
        <v>36</v>
      </c>
      <c r="R239" s="1" t="s">
        <v>35</v>
      </c>
      <c r="S239" s="4" t="s">
        <v>63</v>
      </c>
      <c r="T239" s="1" t="s">
        <v>944</v>
      </c>
      <c r="U239" s="5">
        <f t="shared" si="130"/>
        <v>0</v>
      </c>
      <c r="V239" s="5">
        <f t="shared" si="131"/>
        <v>1</v>
      </c>
      <c r="W239" s="6">
        <f t="shared" si="132"/>
        <v>486560</v>
      </c>
      <c r="X239" s="6" t="str">
        <f t="shared" si="139"/>
        <v>R$400.000 - R$500.000</v>
      </c>
      <c r="Y239" s="6">
        <f t="shared" si="133"/>
        <v>486560</v>
      </c>
      <c r="Z239" s="3" t="str">
        <f t="shared" si="138"/>
        <v>R$400.000 - R$500.000</v>
      </c>
    </row>
    <row r="240">
      <c r="A240" s="1">
        <v>222531.0</v>
      </c>
      <c r="B240" s="1" t="s">
        <v>945</v>
      </c>
      <c r="C240" s="1" t="s">
        <v>946</v>
      </c>
      <c r="D240" s="1" t="s">
        <v>28</v>
      </c>
      <c r="E240" s="1">
        <v>0.0</v>
      </c>
      <c r="F240" s="1">
        <v>0.0</v>
      </c>
      <c r="G240" s="1" t="s">
        <v>29</v>
      </c>
      <c r="H240" s="1" t="s">
        <v>947</v>
      </c>
      <c r="I240" s="1" t="s">
        <v>512</v>
      </c>
      <c r="J240" s="1" t="s">
        <v>77</v>
      </c>
      <c r="K240" s="3"/>
      <c r="L240" s="1" t="s">
        <v>51</v>
      </c>
      <c r="M240" s="1" t="s">
        <v>33</v>
      </c>
      <c r="N240" s="3"/>
      <c r="O240" s="1" t="s">
        <v>140</v>
      </c>
      <c r="P240" s="1" t="s">
        <v>35</v>
      </c>
      <c r="Q240" s="1" t="s">
        <v>36</v>
      </c>
      <c r="R240" s="1" t="s">
        <v>35</v>
      </c>
      <c r="S240" s="4" t="s">
        <v>63</v>
      </c>
      <c r="T240" s="1" t="s">
        <v>948</v>
      </c>
      <c r="U240" s="5"/>
      <c r="V240" s="5"/>
      <c r="W240" s="6"/>
      <c r="X240" s="6"/>
      <c r="Y240" s="6"/>
      <c r="Z240" s="3"/>
    </row>
    <row r="241">
      <c r="A241" s="1">
        <v>222868.0</v>
      </c>
      <c r="B241" s="1" t="s">
        <v>949</v>
      </c>
      <c r="C241" s="1" t="s">
        <v>950</v>
      </c>
      <c r="D241" s="1" t="s">
        <v>28</v>
      </c>
      <c r="E241" s="2">
        <v>13000.0</v>
      </c>
      <c r="F241" s="2">
        <v>13000.0</v>
      </c>
      <c r="G241" s="1" t="s">
        <v>29</v>
      </c>
      <c r="H241" s="1" t="s">
        <v>947</v>
      </c>
      <c r="I241" s="1" t="s">
        <v>118</v>
      </c>
      <c r="J241" s="1" t="s">
        <v>77</v>
      </c>
      <c r="K241" s="3"/>
      <c r="L241" s="1" t="s">
        <v>51</v>
      </c>
      <c r="M241" s="1" t="s">
        <v>33</v>
      </c>
      <c r="N241" s="1">
        <v>40000.0</v>
      </c>
      <c r="O241" s="1" t="s">
        <v>449</v>
      </c>
      <c r="P241" s="1" t="s">
        <v>35</v>
      </c>
      <c r="Q241" s="1" t="s">
        <v>54</v>
      </c>
      <c r="R241" s="1" t="s">
        <v>35</v>
      </c>
      <c r="S241" s="4" t="s">
        <v>63</v>
      </c>
      <c r="T241" s="1" t="s">
        <v>951</v>
      </c>
      <c r="U241" s="5">
        <f t="shared" ref="U241:U242" si="140">(F241/E241)-1</f>
        <v>0</v>
      </c>
      <c r="V241" s="5">
        <f t="shared" ref="V241:V242" si="141">ROUNDDOWN(N241/E241,0)</f>
        <v>3</v>
      </c>
      <c r="W241" s="6">
        <f t="shared" ref="W241:W242" si="142">13.33*E241+N241</f>
        <v>213290</v>
      </c>
      <c r="X241" s="6"/>
      <c r="Y241" s="6">
        <f t="shared" ref="Y241:Y242" si="143">W241+(W241*U241)</f>
        <v>213290</v>
      </c>
      <c r="Z241" s="3"/>
    </row>
    <row r="242">
      <c r="A242" s="1">
        <v>163031.0</v>
      </c>
      <c r="B242" s="1" t="s">
        <v>952</v>
      </c>
      <c r="C242" s="1" t="s">
        <v>526</v>
      </c>
      <c r="D242" s="1" t="s">
        <v>28</v>
      </c>
      <c r="E242" s="2">
        <v>20000.0</v>
      </c>
      <c r="F242" s="2">
        <v>25000.0</v>
      </c>
      <c r="G242" s="1" t="s">
        <v>29</v>
      </c>
      <c r="H242" s="1" t="s">
        <v>947</v>
      </c>
      <c r="I242" s="1" t="s">
        <v>953</v>
      </c>
      <c r="J242" s="1" t="s">
        <v>77</v>
      </c>
      <c r="K242" s="3"/>
      <c r="L242" s="1" t="s">
        <v>32</v>
      </c>
      <c r="M242" s="1" t="s">
        <v>33</v>
      </c>
      <c r="N242" s="1">
        <v>0.0</v>
      </c>
      <c r="O242" s="1" t="s">
        <v>78</v>
      </c>
      <c r="P242" s="1" t="s">
        <v>53</v>
      </c>
      <c r="Q242" s="1" t="s">
        <v>36</v>
      </c>
      <c r="R242" s="1" t="s">
        <v>35</v>
      </c>
      <c r="S242" s="4" t="s">
        <v>63</v>
      </c>
      <c r="T242" s="1" t="s">
        <v>261</v>
      </c>
      <c r="U242" s="5">
        <f t="shared" si="140"/>
        <v>0.25</v>
      </c>
      <c r="V242" s="5">
        <f t="shared" si="141"/>
        <v>0</v>
      </c>
      <c r="W242" s="6">
        <f t="shared" si="142"/>
        <v>266600</v>
      </c>
      <c r="X242" s="6"/>
      <c r="Y242" s="6">
        <f t="shared" si="143"/>
        <v>333250</v>
      </c>
      <c r="Z242" s="3"/>
    </row>
    <row r="243">
      <c r="A243" s="1">
        <v>222733.0</v>
      </c>
      <c r="B243" s="1" t="s">
        <v>954</v>
      </c>
      <c r="C243" s="1" t="s">
        <v>955</v>
      </c>
      <c r="D243" s="1" t="s">
        <v>28</v>
      </c>
      <c r="E243" s="1">
        <v>0.0</v>
      </c>
      <c r="F243" s="1">
        <v>0.0</v>
      </c>
      <c r="G243" s="1" t="s">
        <v>75</v>
      </c>
      <c r="I243" s="1" t="s">
        <v>956</v>
      </c>
      <c r="J243" s="1" t="s">
        <v>77</v>
      </c>
      <c r="K243" s="3"/>
      <c r="L243" s="1" t="s">
        <v>51</v>
      </c>
      <c r="M243" s="1" t="s">
        <v>69</v>
      </c>
      <c r="N243" s="8"/>
      <c r="O243" s="1" t="s">
        <v>449</v>
      </c>
      <c r="P243" s="1" t="s">
        <v>35</v>
      </c>
      <c r="Q243" s="1" t="s">
        <v>172</v>
      </c>
      <c r="R243" s="1" t="s">
        <v>35</v>
      </c>
      <c r="S243" s="4" t="s">
        <v>63</v>
      </c>
      <c r="T243" s="1" t="s">
        <v>957</v>
      </c>
      <c r="U243" s="5"/>
      <c r="V243" s="5"/>
      <c r="W243" s="6"/>
      <c r="X243" s="6"/>
      <c r="Y243" s="6"/>
      <c r="Z243" s="3"/>
    </row>
    <row r="244">
      <c r="A244" s="1">
        <v>222418.0</v>
      </c>
      <c r="B244" s="1" t="s">
        <v>958</v>
      </c>
      <c r="C244" s="1" t="s">
        <v>959</v>
      </c>
      <c r="D244" s="1" t="s">
        <v>28</v>
      </c>
      <c r="E244" s="1">
        <v>0.0</v>
      </c>
      <c r="F244" s="1">
        <v>0.0</v>
      </c>
      <c r="G244" s="1" t="s">
        <v>29</v>
      </c>
      <c r="I244" s="1" t="s">
        <v>960</v>
      </c>
      <c r="J244" s="1" t="s">
        <v>77</v>
      </c>
      <c r="K244" s="3"/>
      <c r="L244" s="1" t="s">
        <v>51</v>
      </c>
      <c r="M244" s="1" t="s">
        <v>33</v>
      </c>
      <c r="N244" s="3"/>
      <c r="O244" s="1" t="s">
        <v>70</v>
      </c>
      <c r="P244" s="1" t="s">
        <v>35</v>
      </c>
      <c r="Q244" s="1" t="s">
        <v>36</v>
      </c>
      <c r="R244" s="1" t="s">
        <v>35</v>
      </c>
      <c r="S244" s="4" t="s">
        <v>63</v>
      </c>
      <c r="T244" s="1" t="s">
        <v>105</v>
      </c>
      <c r="U244" s="5"/>
      <c r="V244" s="5"/>
      <c r="W244" s="6"/>
      <c r="X244" s="6"/>
      <c r="Y244" s="6"/>
      <c r="Z244" s="3"/>
    </row>
    <row r="245">
      <c r="A245" s="1">
        <v>123044.0</v>
      </c>
      <c r="B245" s="1" t="s">
        <v>961</v>
      </c>
      <c r="C245" s="1" t="s">
        <v>962</v>
      </c>
      <c r="D245" s="1" t="s">
        <v>28</v>
      </c>
      <c r="E245" s="2">
        <v>30000.0</v>
      </c>
      <c r="F245" s="2">
        <v>30000.0</v>
      </c>
      <c r="G245" s="1" t="s">
        <v>29</v>
      </c>
      <c r="H245" s="1" t="s">
        <v>963</v>
      </c>
      <c r="I245" s="1" t="s">
        <v>964</v>
      </c>
      <c r="J245" s="1" t="s">
        <v>77</v>
      </c>
      <c r="K245" s="3"/>
      <c r="L245" s="1" t="s">
        <v>32</v>
      </c>
      <c r="M245" s="1" t="s">
        <v>33</v>
      </c>
      <c r="N245" s="1">
        <v>7000.0</v>
      </c>
      <c r="O245" s="1" t="s">
        <v>135</v>
      </c>
      <c r="P245" s="1" t="s">
        <v>53</v>
      </c>
      <c r="Q245" s="1" t="s">
        <v>36</v>
      </c>
      <c r="R245" s="1" t="s">
        <v>35</v>
      </c>
      <c r="S245" s="4" t="s">
        <v>63</v>
      </c>
      <c r="T245" s="1" t="s">
        <v>105</v>
      </c>
      <c r="U245" s="5">
        <f>(F245/E245)-1</f>
        <v>0</v>
      </c>
      <c r="V245" s="5">
        <f>ROUNDDOWN(N245/E245,0)</f>
        <v>0</v>
      </c>
      <c r="W245" s="6">
        <f>13.33*E245+N245</f>
        <v>406900</v>
      </c>
      <c r="X245" s="6" t="str">
        <f>IF(W245&lt;100000,"abaixo de R$100.000",IF(AND(W245&gt;=100000,W245&lt;200000),"R$100.000 - R$200.000",IF(AND(W245&gt;=200000,W245&lt;300000),"R$200.000 - R$300.000",IF(AND(W245&gt;=300000,W245&lt;400000),"R$300.000 - R$400.000",IF(AND(W245&gt;=400000,W245&lt;500000),"R$400.000 - R$500.000",IF(AND(W245&gt;=500000,W245&lt;600000),"R$500.000 - R$600.000",IF(AND(W245&gt;=600000,W245&lt;700000),"R$600.000 - R$700.000",IF(AND(W245&gt;=700000,W245&lt;800000),"R$700.000 - R$800.000",IF(AND(W245&gt;=800000,W245&lt;900000),"R$800.000 - R$900.000","Superior a R$900.000")))))))))</f>
        <v>R$400.000 - R$500.000</v>
      </c>
      <c r="Y245" s="6">
        <f>W245+(W245*U245)</f>
        <v>406900</v>
      </c>
      <c r="Z245" s="3" t="str">
        <f>IF(Y245&lt;100000,"abaixo de R$100.000",IF(AND(Y245&gt;=100000,Y245&lt;200000),"R$100.000 - R$200.000",IF(AND(Y245&gt;=200000,Y245&lt;300000),"R$200.000 - R$300.000",IF(AND(Y245&gt;=300000,Y245&lt;400000),"R$300.000 - R$400.000",IF(AND(Y245&gt;=400000,Y245&lt;500000),"R$400.000 - R$500.000",IF(AND(Y245&gt;=500000,Y245&lt;600000),"R$500.000 - R$600.000",IF(AND(Y245&gt;=600000,Y245&lt;700000),"R$600.000 - R$700.000",IF(AND(Y245&gt;=700000,Y245&lt;800000),"R$700.000 - R$800.000",IF(AND(Y245&gt;=800000,Y245&lt;900000),"R$800.000 - R$900.000","Superior a R$900.000")))))))))</f>
        <v>R$400.000 - R$500.000</v>
      </c>
    </row>
    <row r="246">
      <c r="A246" s="1">
        <v>154877.0</v>
      </c>
      <c r="B246" s="1" t="s">
        <v>965</v>
      </c>
      <c r="C246" s="1" t="s">
        <v>966</v>
      </c>
      <c r="D246" s="1" t="s">
        <v>28</v>
      </c>
      <c r="E246" s="1">
        <v>0.0</v>
      </c>
      <c r="F246" s="1">
        <v>0.0</v>
      </c>
      <c r="G246" s="1" t="s">
        <v>29</v>
      </c>
      <c r="I246" s="1" t="s">
        <v>967</v>
      </c>
      <c r="J246" s="1" t="s">
        <v>31</v>
      </c>
      <c r="K246" s="3"/>
      <c r="L246" s="1" t="s">
        <v>32</v>
      </c>
      <c r="M246" s="1" t="s">
        <v>33</v>
      </c>
      <c r="N246" s="3"/>
      <c r="O246" s="1" t="s">
        <v>199</v>
      </c>
      <c r="P246" s="1" t="s">
        <v>35</v>
      </c>
      <c r="Q246" s="1" t="s">
        <v>36</v>
      </c>
      <c r="R246" s="1" t="s">
        <v>35</v>
      </c>
      <c r="S246" s="4" t="s">
        <v>63</v>
      </c>
      <c r="T246" s="1" t="s">
        <v>968</v>
      </c>
      <c r="U246" s="5"/>
      <c r="V246" s="5"/>
      <c r="W246" s="6"/>
      <c r="X246" s="6"/>
      <c r="Y246" s="6"/>
      <c r="Z246" s="3"/>
    </row>
    <row r="247">
      <c r="A247" s="1">
        <v>222917.0</v>
      </c>
      <c r="B247" s="1" t="s">
        <v>969</v>
      </c>
      <c r="C247" s="1" t="s">
        <v>970</v>
      </c>
      <c r="D247" s="1" t="s">
        <v>28</v>
      </c>
      <c r="E247" s="2">
        <v>15000.0</v>
      </c>
      <c r="F247" s="2">
        <v>15000.0</v>
      </c>
      <c r="G247" s="1" t="s">
        <v>29</v>
      </c>
      <c r="H247" s="1" t="s">
        <v>971</v>
      </c>
      <c r="I247" s="1" t="s">
        <v>212</v>
      </c>
      <c r="J247" s="1" t="s">
        <v>60</v>
      </c>
      <c r="K247" s="3"/>
      <c r="L247" s="1" t="s">
        <v>32</v>
      </c>
      <c r="M247" s="1" t="s">
        <v>52</v>
      </c>
      <c r="N247" s="1">
        <v>0.0</v>
      </c>
      <c r="O247" s="1" t="s">
        <v>44</v>
      </c>
      <c r="P247" s="1" t="s">
        <v>35</v>
      </c>
      <c r="Q247" s="1" t="s">
        <v>54</v>
      </c>
      <c r="R247" s="1" t="s">
        <v>35</v>
      </c>
      <c r="S247" s="4" t="s">
        <v>63</v>
      </c>
      <c r="T247" s="1" t="s">
        <v>153</v>
      </c>
      <c r="U247" s="5">
        <f t="shared" ref="U247:U253" si="144">(F247/E247)-1</f>
        <v>0</v>
      </c>
      <c r="V247" s="5">
        <f t="shared" ref="V247:V253" si="145">ROUNDDOWN(N247/E247,0)</f>
        <v>0</v>
      </c>
      <c r="W247" s="6">
        <f t="shared" ref="W247:W253" si="146">13.33*E247+N247</f>
        <v>199950</v>
      </c>
      <c r="X247" s="6"/>
      <c r="Y247" s="6">
        <f t="shared" ref="Y247:Y253" si="147">W247+(W247*U247)</f>
        <v>199950</v>
      </c>
      <c r="Z247" s="3"/>
    </row>
    <row r="248">
      <c r="A248" s="1">
        <v>103615.0</v>
      </c>
      <c r="B248" s="1" t="s">
        <v>972</v>
      </c>
      <c r="C248" s="11" t="s">
        <v>973</v>
      </c>
      <c r="D248" s="1" t="s">
        <v>28</v>
      </c>
      <c r="E248" s="2">
        <v>35000.0</v>
      </c>
      <c r="F248" s="2">
        <v>35000.0</v>
      </c>
      <c r="G248" s="1" t="s">
        <v>29</v>
      </c>
      <c r="H248" s="1" t="s">
        <v>974</v>
      </c>
      <c r="I248" s="1" t="s">
        <v>975</v>
      </c>
      <c r="J248" s="1" t="s">
        <v>77</v>
      </c>
      <c r="K248" s="1" t="s">
        <v>976</v>
      </c>
      <c r="L248" s="1" t="s">
        <v>51</v>
      </c>
      <c r="M248" s="1" t="s">
        <v>52</v>
      </c>
      <c r="N248" s="1">
        <v>10000.0</v>
      </c>
      <c r="O248" s="1" t="s">
        <v>44</v>
      </c>
      <c r="P248" s="1" t="s">
        <v>35</v>
      </c>
      <c r="Q248" s="1" t="s">
        <v>36</v>
      </c>
      <c r="R248" s="1" t="s">
        <v>35</v>
      </c>
      <c r="S248" s="4" t="s">
        <v>63</v>
      </c>
      <c r="T248" s="1" t="s">
        <v>223</v>
      </c>
      <c r="U248" s="5">
        <f t="shared" si="144"/>
        <v>0</v>
      </c>
      <c r="V248" s="5">
        <f t="shared" si="145"/>
        <v>0</v>
      </c>
      <c r="W248" s="6">
        <f t="shared" si="146"/>
        <v>476550</v>
      </c>
      <c r="X248" s="6" t="str">
        <f t="shared" ref="X248:X253" si="148">IF(W248&lt;100000,"abaixo de R$100.000",IF(AND(W248&gt;=100000,W248&lt;200000),"R$100.000 - R$200.000",IF(AND(W248&gt;=200000,W248&lt;300000),"R$200.000 - R$300.000",IF(AND(W248&gt;=300000,W248&lt;400000),"R$300.000 - R$400.000",IF(AND(W248&gt;=400000,W248&lt;500000),"R$400.000 - R$500.000",IF(AND(W248&gt;=500000,W248&lt;600000),"R$500.000 - R$600.000",IF(AND(W248&gt;=600000,W248&lt;700000),"R$600.000 - R$700.000",IF(AND(W248&gt;=700000,W248&lt;800000),"R$700.000 - R$800.000",IF(AND(W248&gt;=800000,W248&lt;900000),"R$800.000 - R$900.000","Superior a R$900.000")))))))))</f>
        <v>R$400.000 - R$500.000</v>
      </c>
      <c r="Y248" s="6">
        <f t="shared" si="147"/>
        <v>476550</v>
      </c>
      <c r="Z248" s="3" t="str">
        <f t="shared" ref="Z248:Z253" si="149">IF(Y248&lt;100000,"abaixo de R$100.000",IF(AND(Y248&gt;=100000,Y248&lt;200000),"R$100.000 - R$200.000",IF(AND(Y248&gt;=200000,Y248&lt;300000),"R$200.000 - R$300.000",IF(AND(Y248&gt;=300000,Y248&lt;400000),"R$300.000 - R$400.000",IF(AND(Y248&gt;=400000,Y248&lt;500000),"R$400.000 - R$500.000",IF(AND(Y248&gt;=500000,Y248&lt;600000),"R$500.000 - R$600.000",IF(AND(Y248&gt;=600000,Y248&lt;700000),"R$600.000 - R$700.000",IF(AND(Y248&gt;=700000,Y248&lt;800000),"R$700.000 - R$800.000",IF(AND(Y248&gt;=800000,Y248&lt;900000),"R$800.000 - R$900.000","Superior a R$900.000")))))))))</f>
        <v>R$400.000 - R$500.000</v>
      </c>
    </row>
    <row r="249">
      <c r="A249" s="1">
        <v>111744.0</v>
      </c>
      <c r="B249" s="1" t="s">
        <v>977</v>
      </c>
      <c r="C249" s="1" t="s">
        <v>978</v>
      </c>
      <c r="D249" s="1" t="s">
        <v>28</v>
      </c>
      <c r="E249" s="2">
        <v>45000.0</v>
      </c>
      <c r="F249" s="2">
        <v>60000.0</v>
      </c>
      <c r="G249" s="1" t="s">
        <v>29</v>
      </c>
      <c r="H249" s="1" t="s">
        <v>979</v>
      </c>
      <c r="I249" s="1" t="s">
        <v>980</v>
      </c>
      <c r="J249" s="1" t="s">
        <v>50</v>
      </c>
      <c r="K249" s="3"/>
      <c r="L249" s="1" t="s">
        <v>51</v>
      </c>
      <c r="M249" s="1" t="s">
        <v>33</v>
      </c>
      <c r="N249" s="1">
        <v>160000.0</v>
      </c>
      <c r="O249" s="1" t="s">
        <v>199</v>
      </c>
      <c r="P249" s="1" t="s">
        <v>35</v>
      </c>
      <c r="Q249" s="1" t="s">
        <v>36</v>
      </c>
      <c r="R249" s="1" t="s">
        <v>35</v>
      </c>
      <c r="S249" s="4" t="s">
        <v>63</v>
      </c>
      <c r="T249" s="1" t="s">
        <v>306</v>
      </c>
      <c r="U249" s="5">
        <f t="shared" si="144"/>
        <v>0.3333333333</v>
      </c>
      <c r="V249" s="5">
        <f t="shared" si="145"/>
        <v>3</v>
      </c>
      <c r="W249" s="6">
        <f t="shared" si="146"/>
        <v>759850</v>
      </c>
      <c r="X249" s="6" t="str">
        <f t="shared" si="148"/>
        <v>R$700.000 - R$800.000</v>
      </c>
      <c r="Y249" s="6">
        <f t="shared" si="147"/>
        <v>1013133.333</v>
      </c>
      <c r="Z249" s="3" t="str">
        <f t="shared" si="149"/>
        <v>Superior a R$900.000</v>
      </c>
    </row>
    <row r="250">
      <c r="A250" s="1">
        <v>221949.0</v>
      </c>
      <c r="B250" s="1" t="s">
        <v>981</v>
      </c>
      <c r="C250" s="1" t="s">
        <v>982</v>
      </c>
      <c r="D250" s="1" t="s">
        <v>28</v>
      </c>
      <c r="E250" s="2">
        <v>45000.0</v>
      </c>
      <c r="F250" s="2">
        <v>45000.0</v>
      </c>
      <c r="G250" s="1" t="s">
        <v>29</v>
      </c>
      <c r="I250" s="1" t="s">
        <v>983</v>
      </c>
      <c r="J250" s="1" t="s">
        <v>77</v>
      </c>
      <c r="K250" s="3"/>
      <c r="L250" s="1" t="s">
        <v>51</v>
      </c>
      <c r="M250" s="1" t="s">
        <v>33</v>
      </c>
      <c r="N250" s="1">
        <v>0.0</v>
      </c>
      <c r="O250" s="1" t="s">
        <v>984</v>
      </c>
      <c r="P250" s="1" t="s">
        <v>35</v>
      </c>
      <c r="Q250" s="1" t="s">
        <v>54</v>
      </c>
      <c r="R250" s="1" t="s">
        <v>35</v>
      </c>
      <c r="S250" s="4" t="s">
        <v>63</v>
      </c>
      <c r="T250" s="1" t="s">
        <v>985</v>
      </c>
      <c r="U250" s="5">
        <f t="shared" si="144"/>
        <v>0</v>
      </c>
      <c r="V250" s="5">
        <f t="shared" si="145"/>
        <v>0</v>
      </c>
      <c r="W250" s="6">
        <f t="shared" si="146"/>
        <v>599850</v>
      </c>
      <c r="X250" s="6" t="str">
        <f t="shared" si="148"/>
        <v>R$500.000 - R$600.000</v>
      </c>
      <c r="Y250" s="6">
        <f t="shared" si="147"/>
        <v>599850</v>
      </c>
      <c r="Z250" s="3" t="str">
        <f t="shared" si="149"/>
        <v>R$500.000 - R$600.000</v>
      </c>
    </row>
    <row r="251">
      <c r="A251" s="1">
        <v>104338.0</v>
      </c>
      <c r="B251" s="1" t="s">
        <v>986</v>
      </c>
      <c r="C251" s="1" t="s">
        <v>987</v>
      </c>
      <c r="D251" s="1" t="s">
        <v>28</v>
      </c>
      <c r="E251" s="2">
        <v>37500.0</v>
      </c>
      <c r="F251" s="2">
        <v>37500.0</v>
      </c>
      <c r="G251" s="1" t="s">
        <v>29</v>
      </c>
      <c r="H251" s="1" t="s">
        <v>988</v>
      </c>
      <c r="I251" s="1" t="s">
        <v>989</v>
      </c>
      <c r="J251" s="1" t="s">
        <v>50</v>
      </c>
      <c r="K251" s="1" t="s">
        <v>943</v>
      </c>
      <c r="L251" s="1" t="s">
        <v>51</v>
      </c>
      <c r="M251" s="1" t="s">
        <v>52</v>
      </c>
      <c r="N251" s="1">
        <v>375000.0</v>
      </c>
      <c r="O251" s="1" t="s">
        <v>119</v>
      </c>
      <c r="P251" s="1" t="s">
        <v>35</v>
      </c>
      <c r="Q251" s="1" t="s">
        <v>36</v>
      </c>
      <c r="R251" s="1" t="s">
        <v>35</v>
      </c>
      <c r="S251" s="4" t="s">
        <v>63</v>
      </c>
      <c r="T251" s="1" t="s">
        <v>990</v>
      </c>
      <c r="U251" s="5">
        <f t="shared" si="144"/>
        <v>0</v>
      </c>
      <c r="V251" s="5">
        <f t="shared" si="145"/>
        <v>10</v>
      </c>
      <c r="W251" s="6">
        <f t="shared" si="146"/>
        <v>874875</v>
      </c>
      <c r="X251" s="6" t="str">
        <f t="shared" si="148"/>
        <v>R$800.000 - R$900.000</v>
      </c>
      <c r="Y251" s="6">
        <f t="shared" si="147"/>
        <v>874875</v>
      </c>
      <c r="Z251" s="3" t="str">
        <f t="shared" si="149"/>
        <v>R$800.000 - R$900.000</v>
      </c>
    </row>
    <row r="252">
      <c r="A252" s="1">
        <v>219315.0</v>
      </c>
      <c r="B252" s="1" t="s">
        <v>991</v>
      </c>
      <c r="C252" s="1" t="s">
        <v>992</v>
      </c>
      <c r="D252" s="1" t="s">
        <v>28</v>
      </c>
      <c r="E252" s="2">
        <v>35000.0</v>
      </c>
      <c r="F252" s="2">
        <v>40000.0</v>
      </c>
      <c r="G252" s="1" t="s">
        <v>29</v>
      </c>
      <c r="H252" s="1" t="s">
        <v>993</v>
      </c>
      <c r="I252" s="1" t="s">
        <v>222</v>
      </c>
      <c r="J252" s="1" t="s">
        <v>31</v>
      </c>
      <c r="K252" s="3"/>
      <c r="L252" s="1" t="s">
        <v>32</v>
      </c>
      <c r="M252" s="1" t="s">
        <v>33</v>
      </c>
      <c r="N252" s="1">
        <v>70000.0</v>
      </c>
      <c r="O252" s="1" t="s">
        <v>199</v>
      </c>
      <c r="P252" s="1" t="s">
        <v>53</v>
      </c>
      <c r="Q252" s="1" t="s">
        <v>36</v>
      </c>
      <c r="R252" s="1" t="s">
        <v>35</v>
      </c>
      <c r="S252" s="4" t="s">
        <v>63</v>
      </c>
      <c r="T252" s="1" t="s">
        <v>223</v>
      </c>
      <c r="U252" s="5">
        <f t="shared" si="144"/>
        <v>0.1428571429</v>
      </c>
      <c r="V252" s="5">
        <f t="shared" si="145"/>
        <v>2</v>
      </c>
      <c r="W252" s="6">
        <f t="shared" si="146"/>
        <v>536550</v>
      </c>
      <c r="X252" s="6" t="str">
        <f t="shared" si="148"/>
        <v>R$500.000 - R$600.000</v>
      </c>
      <c r="Y252" s="6">
        <f t="shared" si="147"/>
        <v>613200</v>
      </c>
      <c r="Z252" s="3" t="str">
        <f t="shared" si="149"/>
        <v>R$600.000 - R$700.000</v>
      </c>
    </row>
    <row r="253">
      <c r="A253" s="1">
        <v>222828.0</v>
      </c>
      <c r="B253" s="1" t="s">
        <v>994</v>
      </c>
      <c r="C253" s="1" t="s">
        <v>995</v>
      </c>
      <c r="D253" s="1" t="s">
        <v>28</v>
      </c>
      <c r="E253" s="2">
        <v>32968.0</v>
      </c>
      <c r="F253" s="2">
        <v>35000.0</v>
      </c>
      <c r="G253" s="1" t="s">
        <v>29</v>
      </c>
      <c r="H253" s="1" t="s">
        <v>996</v>
      </c>
      <c r="I253" s="1" t="s">
        <v>118</v>
      </c>
      <c r="J253" s="1" t="s">
        <v>77</v>
      </c>
      <c r="K253" s="3"/>
      <c r="L253" s="1" t="s">
        <v>51</v>
      </c>
      <c r="M253" s="1" t="s">
        <v>33</v>
      </c>
      <c r="N253" s="1">
        <v>315000.0</v>
      </c>
      <c r="O253" s="1" t="s">
        <v>34</v>
      </c>
      <c r="P253" s="1" t="s">
        <v>35</v>
      </c>
      <c r="Q253" s="1" t="s">
        <v>36</v>
      </c>
      <c r="R253" s="1" t="s">
        <v>53</v>
      </c>
      <c r="S253" s="4" t="s">
        <v>63</v>
      </c>
      <c r="T253" s="1" t="s">
        <v>997</v>
      </c>
      <c r="U253" s="5">
        <f t="shared" si="144"/>
        <v>0.06163552536</v>
      </c>
      <c r="V253" s="5">
        <f t="shared" si="145"/>
        <v>9</v>
      </c>
      <c r="W253" s="6">
        <f t="shared" si="146"/>
        <v>754463.44</v>
      </c>
      <c r="X253" s="6" t="str">
        <f t="shared" si="148"/>
        <v>R$700.000 - R$800.000</v>
      </c>
      <c r="Y253" s="6">
        <f t="shared" si="147"/>
        <v>800965.1905</v>
      </c>
      <c r="Z253" s="3" t="str">
        <f t="shared" si="149"/>
        <v>R$800.000 - R$900.000</v>
      </c>
    </row>
    <row r="254">
      <c r="A254" s="1">
        <v>104110.0</v>
      </c>
      <c r="B254" s="1" t="s">
        <v>998</v>
      </c>
      <c r="C254" s="1" t="s">
        <v>999</v>
      </c>
      <c r="D254" s="1" t="s">
        <v>28</v>
      </c>
      <c r="E254" s="1">
        <v>0.0</v>
      </c>
      <c r="F254" s="1">
        <v>0.0</v>
      </c>
      <c r="G254" s="1" t="s">
        <v>29</v>
      </c>
      <c r="H254" s="1" t="s">
        <v>1000</v>
      </c>
      <c r="I254" s="1" t="s">
        <v>1001</v>
      </c>
      <c r="J254" s="1" t="s">
        <v>77</v>
      </c>
      <c r="K254" s="3"/>
      <c r="L254" s="1" t="s">
        <v>51</v>
      </c>
      <c r="M254" s="1" t="s">
        <v>52</v>
      </c>
      <c r="N254" s="3"/>
      <c r="O254" s="1" t="s">
        <v>119</v>
      </c>
      <c r="P254" s="1" t="s">
        <v>53</v>
      </c>
      <c r="Q254" s="1" t="s">
        <v>36</v>
      </c>
      <c r="R254" s="1" t="s">
        <v>35</v>
      </c>
      <c r="S254" s="4" t="s">
        <v>63</v>
      </c>
      <c r="T254" s="1" t="s">
        <v>141</v>
      </c>
      <c r="U254" s="5"/>
      <c r="V254" s="5"/>
      <c r="W254" s="6"/>
      <c r="X254" s="6"/>
      <c r="Y254" s="6"/>
      <c r="Z254" s="3"/>
    </row>
    <row r="255">
      <c r="A255" s="1">
        <v>104055.0</v>
      </c>
      <c r="B255" s="1" t="s">
        <v>1002</v>
      </c>
      <c r="C255" s="1" t="s">
        <v>1003</v>
      </c>
      <c r="D255" s="1" t="s">
        <v>28</v>
      </c>
      <c r="E255" s="2">
        <v>20000.0</v>
      </c>
      <c r="F255" s="2">
        <v>22000.0</v>
      </c>
      <c r="G255" s="1" t="s">
        <v>29</v>
      </c>
      <c r="H255" s="1" t="s">
        <v>1000</v>
      </c>
      <c r="I255" s="1" t="s">
        <v>1004</v>
      </c>
      <c r="J255" s="1" t="s">
        <v>31</v>
      </c>
      <c r="K255" s="1" t="s">
        <v>68</v>
      </c>
      <c r="L255" s="1" t="s">
        <v>32</v>
      </c>
      <c r="M255" s="1" t="s">
        <v>33</v>
      </c>
      <c r="N255" s="1">
        <v>8000.0</v>
      </c>
      <c r="O255" s="1" t="s">
        <v>70</v>
      </c>
      <c r="P255" s="1" t="s">
        <v>35</v>
      </c>
      <c r="Q255" s="1" t="s">
        <v>54</v>
      </c>
      <c r="R255" s="1" t="s">
        <v>35</v>
      </c>
      <c r="S255" s="4" t="s">
        <v>63</v>
      </c>
      <c r="T255" s="1" t="s">
        <v>1005</v>
      </c>
      <c r="U255" s="5">
        <f t="shared" ref="U255:U260" si="150">(F255/E255)-1</f>
        <v>0.1</v>
      </c>
      <c r="V255" s="5">
        <f t="shared" ref="V255:V260" si="151">ROUNDDOWN(N255/E255,0)</f>
        <v>0</v>
      </c>
      <c r="W255" s="6">
        <f t="shared" ref="W255:W260" si="152">13.33*E255+N255</f>
        <v>274600</v>
      </c>
      <c r="X255" s="6"/>
      <c r="Y255" s="6">
        <f t="shared" ref="Y255:Y260" si="153">W255+(W255*U255)</f>
        <v>302060</v>
      </c>
      <c r="Z255" s="3"/>
    </row>
    <row r="256">
      <c r="A256" s="1">
        <v>108942.0</v>
      </c>
      <c r="B256" s="1" t="s">
        <v>1006</v>
      </c>
      <c r="C256" s="1" t="s">
        <v>1007</v>
      </c>
      <c r="D256" s="1" t="s">
        <v>28</v>
      </c>
      <c r="E256" s="2">
        <v>18000.0</v>
      </c>
      <c r="F256" s="2">
        <v>18000.0</v>
      </c>
      <c r="G256" s="1" t="s">
        <v>29</v>
      </c>
      <c r="H256" s="1" t="s">
        <v>1008</v>
      </c>
      <c r="I256" s="1" t="s">
        <v>1009</v>
      </c>
      <c r="J256" s="1" t="s">
        <v>31</v>
      </c>
      <c r="K256" s="3"/>
      <c r="L256" s="1" t="s">
        <v>32</v>
      </c>
      <c r="M256" s="1" t="s">
        <v>33</v>
      </c>
      <c r="N256" s="1">
        <v>0.0</v>
      </c>
      <c r="O256" s="1" t="s">
        <v>199</v>
      </c>
      <c r="P256" s="1" t="s">
        <v>35</v>
      </c>
      <c r="Q256" s="1" t="s">
        <v>36</v>
      </c>
      <c r="R256" s="1" t="s">
        <v>35</v>
      </c>
      <c r="S256" s="4" t="s">
        <v>63</v>
      </c>
      <c r="T256" s="1" t="s">
        <v>386</v>
      </c>
      <c r="U256" s="5">
        <f t="shared" si="150"/>
        <v>0</v>
      </c>
      <c r="V256" s="5">
        <f t="shared" si="151"/>
        <v>0</v>
      </c>
      <c r="W256" s="6">
        <f t="shared" si="152"/>
        <v>239940</v>
      </c>
      <c r="X256" s="6"/>
      <c r="Y256" s="6">
        <f t="shared" si="153"/>
        <v>239940</v>
      </c>
      <c r="Z256" s="3"/>
    </row>
    <row r="257">
      <c r="A257" s="1">
        <v>216038.0</v>
      </c>
      <c r="B257" s="1" t="s">
        <v>1010</v>
      </c>
      <c r="C257" s="1" t="s">
        <v>1011</v>
      </c>
      <c r="D257" s="1" t="s">
        <v>28</v>
      </c>
      <c r="E257" s="2">
        <v>25000.0</v>
      </c>
      <c r="F257" s="2">
        <v>25000.0</v>
      </c>
      <c r="G257" s="1" t="s">
        <v>29</v>
      </c>
      <c r="H257" s="1" t="s">
        <v>1012</v>
      </c>
      <c r="I257" s="1" t="s">
        <v>1013</v>
      </c>
      <c r="J257" s="1" t="s">
        <v>31</v>
      </c>
      <c r="K257" s="3"/>
      <c r="L257" s="1" t="s">
        <v>32</v>
      </c>
      <c r="M257" s="1" t="s">
        <v>33</v>
      </c>
      <c r="N257" s="1">
        <v>120000.0</v>
      </c>
      <c r="O257" s="1" t="s">
        <v>34</v>
      </c>
      <c r="P257" s="1" t="s">
        <v>35</v>
      </c>
      <c r="Q257" s="1" t="s">
        <v>54</v>
      </c>
      <c r="R257" s="1" t="s">
        <v>35</v>
      </c>
      <c r="S257" s="4" t="s">
        <v>63</v>
      </c>
      <c r="T257" s="1" t="s">
        <v>244</v>
      </c>
      <c r="U257" s="5">
        <f t="shared" si="150"/>
        <v>0</v>
      </c>
      <c r="V257" s="5">
        <f t="shared" si="151"/>
        <v>4</v>
      </c>
      <c r="W257" s="6">
        <f t="shared" si="152"/>
        <v>453250</v>
      </c>
      <c r="X257" s="6" t="str">
        <f t="shared" ref="X257:X260" si="154">IF(W257&lt;100000,"abaixo de R$100.000",IF(AND(W257&gt;=100000,W257&lt;200000),"R$100.000 - R$200.000",IF(AND(W257&gt;=200000,W257&lt;300000),"R$200.000 - R$300.000",IF(AND(W257&gt;=300000,W257&lt;400000),"R$300.000 - R$400.000",IF(AND(W257&gt;=400000,W257&lt;500000),"R$400.000 - R$500.000",IF(AND(W257&gt;=500000,W257&lt;600000),"R$500.000 - R$600.000",IF(AND(W257&gt;=600000,W257&lt;700000),"R$600.000 - R$700.000",IF(AND(W257&gt;=700000,W257&lt;800000),"R$700.000 - R$800.000",IF(AND(W257&gt;=800000,W257&lt;900000),"R$800.000 - R$900.000","Superior a R$900.000")))))))))</f>
        <v>R$400.000 - R$500.000</v>
      </c>
      <c r="Y257" s="6">
        <f t="shared" si="153"/>
        <v>453250</v>
      </c>
      <c r="Z257" s="3" t="str">
        <f t="shared" ref="Z257:Z260" si="155">IF(Y257&lt;100000,"abaixo de R$100.000",IF(AND(Y257&gt;=100000,Y257&lt;200000),"R$100.000 - R$200.000",IF(AND(Y257&gt;=200000,Y257&lt;300000),"R$200.000 - R$300.000",IF(AND(Y257&gt;=300000,Y257&lt;400000),"R$300.000 - R$400.000",IF(AND(Y257&gt;=400000,Y257&lt;500000),"R$400.000 - R$500.000",IF(AND(Y257&gt;=500000,Y257&lt;600000),"R$500.000 - R$600.000",IF(AND(Y257&gt;=600000,Y257&lt;700000),"R$600.000 - R$700.000",IF(AND(Y257&gt;=700000,Y257&lt;800000),"R$700.000 - R$800.000",IF(AND(Y257&gt;=800000,Y257&lt;900000),"R$800.000 - R$900.000","Superior a R$900.000")))))))))</f>
        <v>R$400.000 - R$500.000</v>
      </c>
    </row>
    <row r="258">
      <c r="A258" s="1">
        <v>222639.0</v>
      </c>
      <c r="B258" s="1" t="s">
        <v>1014</v>
      </c>
      <c r="C258" s="1" t="s">
        <v>1015</v>
      </c>
      <c r="D258" s="1" t="s">
        <v>28</v>
      </c>
      <c r="E258" s="2">
        <v>27000.0</v>
      </c>
      <c r="F258" s="2">
        <v>30000.0</v>
      </c>
      <c r="G258" s="1" t="s">
        <v>29</v>
      </c>
      <c r="H258" s="1" t="s">
        <v>1012</v>
      </c>
      <c r="I258" s="1" t="s">
        <v>329</v>
      </c>
      <c r="J258" s="1" t="s">
        <v>77</v>
      </c>
      <c r="K258" s="3"/>
      <c r="L258" s="1" t="s">
        <v>51</v>
      </c>
      <c r="M258" s="1" t="s">
        <v>52</v>
      </c>
      <c r="N258" s="1">
        <v>162000.0</v>
      </c>
      <c r="O258" s="1" t="s">
        <v>280</v>
      </c>
      <c r="P258" s="1" t="s">
        <v>35</v>
      </c>
      <c r="Q258" s="1" t="s">
        <v>54</v>
      </c>
      <c r="R258" s="1" t="s">
        <v>35</v>
      </c>
      <c r="S258" s="4" t="s">
        <v>63</v>
      </c>
      <c r="T258" s="1" t="s">
        <v>256</v>
      </c>
      <c r="U258" s="5">
        <f t="shared" si="150"/>
        <v>0.1111111111</v>
      </c>
      <c r="V258" s="5">
        <f t="shared" si="151"/>
        <v>6</v>
      </c>
      <c r="W258" s="6">
        <f t="shared" si="152"/>
        <v>521910</v>
      </c>
      <c r="X258" s="6" t="str">
        <f t="shared" si="154"/>
        <v>R$500.000 - R$600.000</v>
      </c>
      <c r="Y258" s="6">
        <f t="shared" si="153"/>
        <v>579900</v>
      </c>
      <c r="Z258" s="3" t="str">
        <f t="shared" si="155"/>
        <v>R$500.000 - R$600.000</v>
      </c>
    </row>
    <row r="259">
      <c r="A259" s="1">
        <v>113093.0</v>
      </c>
      <c r="B259" s="1" t="s">
        <v>1016</v>
      </c>
      <c r="C259" s="1" t="s">
        <v>1017</v>
      </c>
      <c r="D259" s="1" t="s">
        <v>28</v>
      </c>
      <c r="E259" s="2">
        <v>29000.0</v>
      </c>
      <c r="F259" s="2">
        <v>32000.0</v>
      </c>
      <c r="G259" s="1" t="s">
        <v>29</v>
      </c>
      <c r="H259" s="1" t="s">
        <v>1012</v>
      </c>
      <c r="I259" s="1" t="s">
        <v>329</v>
      </c>
      <c r="J259" s="1" t="s">
        <v>77</v>
      </c>
      <c r="K259" s="3"/>
      <c r="L259" s="1" t="s">
        <v>51</v>
      </c>
      <c r="M259" s="1" t="s">
        <v>33</v>
      </c>
      <c r="N259" s="1">
        <v>120000.0</v>
      </c>
      <c r="O259" s="1" t="s">
        <v>70</v>
      </c>
      <c r="P259" s="1" t="s">
        <v>35</v>
      </c>
      <c r="Q259" s="1" t="s">
        <v>36</v>
      </c>
      <c r="R259" s="1" t="s">
        <v>35</v>
      </c>
      <c r="S259" s="4" t="s">
        <v>63</v>
      </c>
      <c r="T259" s="1" t="s">
        <v>1018</v>
      </c>
      <c r="U259" s="5">
        <f t="shared" si="150"/>
        <v>0.1034482759</v>
      </c>
      <c r="V259" s="5">
        <f t="shared" si="151"/>
        <v>4</v>
      </c>
      <c r="W259" s="6">
        <f t="shared" si="152"/>
        <v>506570</v>
      </c>
      <c r="X259" s="6" t="str">
        <f t="shared" si="154"/>
        <v>R$500.000 - R$600.000</v>
      </c>
      <c r="Y259" s="6">
        <f t="shared" si="153"/>
        <v>558973.7931</v>
      </c>
      <c r="Z259" s="3" t="str">
        <f t="shared" si="155"/>
        <v>R$500.000 - R$600.000</v>
      </c>
    </row>
    <row r="260">
      <c r="A260" s="1">
        <v>104024.0</v>
      </c>
      <c r="B260" s="1" t="s">
        <v>1019</v>
      </c>
      <c r="C260" s="1" t="s">
        <v>1020</v>
      </c>
      <c r="D260" s="1" t="s">
        <v>28</v>
      </c>
      <c r="E260" s="2">
        <v>55000.0</v>
      </c>
      <c r="F260" s="2">
        <v>55000.0</v>
      </c>
      <c r="G260" s="1" t="s">
        <v>29</v>
      </c>
      <c r="H260" s="1" t="s">
        <v>1012</v>
      </c>
      <c r="I260" s="1" t="s">
        <v>1021</v>
      </c>
      <c r="J260" s="1" t="s">
        <v>77</v>
      </c>
      <c r="K260" s="1" t="s">
        <v>1022</v>
      </c>
      <c r="L260" s="1" t="s">
        <v>32</v>
      </c>
      <c r="M260" s="1" t="s">
        <v>33</v>
      </c>
      <c r="N260" s="1">
        <v>220000.0</v>
      </c>
      <c r="O260" s="1" t="s">
        <v>34</v>
      </c>
      <c r="P260" s="1" t="s">
        <v>35</v>
      </c>
      <c r="Q260" s="1" t="s">
        <v>36</v>
      </c>
      <c r="R260" s="1" t="s">
        <v>35</v>
      </c>
      <c r="S260" s="4" t="s">
        <v>381</v>
      </c>
      <c r="T260" s="1" t="s">
        <v>1023</v>
      </c>
      <c r="U260" s="5">
        <f t="shared" si="150"/>
        <v>0</v>
      </c>
      <c r="V260" s="5">
        <f t="shared" si="151"/>
        <v>4</v>
      </c>
      <c r="W260" s="6">
        <f t="shared" si="152"/>
        <v>953150</v>
      </c>
      <c r="X260" s="6" t="str">
        <f t="shared" si="154"/>
        <v>Superior a R$900.000</v>
      </c>
      <c r="Y260" s="6">
        <f t="shared" si="153"/>
        <v>953150</v>
      </c>
      <c r="Z260" s="3" t="str">
        <f t="shared" si="155"/>
        <v>Superior a R$900.000</v>
      </c>
    </row>
    <row r="261">
      <c r="A261" s="1">
        <v>106667.0</v>
      </c>
      <c r="B261" s="1" t="s">
        <v>1024</v>
      </c>
      <c r="C261" s="1" t="s">
        <v>1025</v>
      </c>
      <c r="D261" s="1" t="s">
        <v>28</v>
      </c>
      <c r="E261" s="1">
        <v>0.0</v>
      </c>
      <c r="F261" s="1">
        <v>0.0</v>
      </c>
      <c r="G261" s="1" t="s">
        <v>29</v>
      </c>
      <c r="H261" s="1" t="s">
        <v>1012</v>
      </c>
      <c r="I261" s="1" t="s">
        <v>1026</v>
      </c>
      <c r="J261" s="1" t="s">
        <v>77</v>
      </c>
      <c r="K261" s="3"/>
      <c r="L261" s="1" t="s">
        <v>32</v>
      </c>
      <c r="M261" s="1" t="s">
        <v>33</v>
      </c>
      <c r="N261" s="3"/>
      <c r="O261" s="1" t="s">
        <v>449</v>
      </c>
      <c r="P261" s="1" t="s">
        <v>35</v>
      </c>
      <c r="Q261" s="1" t="s">
        <v>36</v>
      </c>
      <c r="R261" s="1" t="s">
        <v>53</v>
      </c>
      <c r="S261" s="4" t="s">
        <v>63</v>
      </c>
      <c r="T261" s="1" t="s">
        <v>1027</v>
      </c>
      <c r="U261" s="5"/>
      <c r="V261" s="5"/>
      <c r="W261" s="6"/>
      <c r="X261" s="6"/>
      <c r="Y261" s="6"/>
      <c r="Z261" s="3"/>
    </row>
    <row r="262">
      <c r="A262" s="1">
        <v>222473.0</v>
      </c>
      <c r="B262" s="1" t="s">
        <v>1028</v>
      </c>
      <c r="C262" s="1" t="s">
        <v>60</v>
      </c>
      <c r="D262" s="1" t="s">
        <v>28</v>
      </c>
      <c r="E262" s="1">
        <v>0.0</v>
      </c>
      <c r="F262" s="1">
        <v>0.0</v>
      </c>
      <c r="G262" s="1" t="s">
        <v>75</v>
      </c>
      <c r="H262" s="1" t="s">
        <v>1012</v>
      </c>
      <c r="I262" s="1" t="s">
        <v>1029</v>
      </c>
      <c r="J262" s="1" t="s">
        <v>77</v>
      </c>
      <c r="K262" s="3"/>
      <c r="L262" s="1" t="s">
        <v>51</v>
      </c>
      <c r="M262" s="1" t="s">
        <v>33</v>
      </c>
      <c r="N262" s="3"/>
      <c r="O262" s="1" t="s">
        <v>199</v>
      </c>
      <c r="P262" s="1" t="s">
        <v>53</v>
      </c>
      <c r="Q262" s="1" t="s">
        <v>54</v>
      </c>
      <c r="R262" s="1" t="s">
        <v>35</v>
      </c>
      <c r="S262" s="4" t="s">
        <v>63</v>
      </c>
      <c r="T262" s="1" t="s">
        <v>1030</v>
      </c>
      <c r="U262" s="5"/>
      <c r="V262" s="5"/>
      <c r="W262" s="6"/>
      <c r="X262" s="6"/>
      <c r="Y262" s="6"/>
      <c r="Z262" s="3"/>
    </row>
    <row r="263">
      <c r="A263" s="1">
        <v>222541.0</v>
      </c>
      <c r="B263" s="1" t="s">
        <v>1031</v>
      </c>
      <c r="C263" s="2">
        <v>13000.0</v>
      </c>
      <c r="D263" s="1" t="s">
        <v>28</v>
      </c>
      <c r="E263" s="2">
        <v>13000.0</v>
      </c>
      <c r="F263" s="2">
        <v>15000.0</v>
      </c>
      <c r="G263" s="1" t="s">
        <v>29</v>
      </c>
      <c r="H263" s="1" t="s">
        <v>1012</v>
      </c>
      <c r="I263" s="1" t="s">
        <v>1032</v>
      </c>
      <c r="J263" s="1" t="s">
        <v>60</v>
      </c>
      <c r="K263" s="3"/>
      <c r="L263" s="1" t="s">
        <v>51</v>
      </c>
      <c r="M263" s="1" t="s">
        <v>33</v>
      </c>
      <c r="N263" s="1">
        <v>30000.0</v>
      </c>
      <c r="O263" s="1" t="s">
        <v>199</v>
      </c>
      <c r="P263" s="1" t="s">
        <v>53</v>
      </c>
      <c r="Q263" s="1" t="s">
        <v>54</v>
      </c>
      <c r="R263" s="1" t="s">
        <v>35</v>
      </c>
      <c r="S263" s="4" t="s">
        <v>63</v>
      </c>
      <c r="T263" s="1" t="s">
        <v>1033</v>
      </c>
      <c r="U263" s="5">
        <f t="shared" ref="U263:U316" si="156">(F263/E263)-1</f>
        <v>0.1538461538</v>
      </c>
      <c r="V263" s="5">
        <f t="shared" ref="V263:V316" si="157">ROUNDDOWN(N263/E263,0)</f>
        <v>2</v>
      </c>
      <c r="W263" s="6">
        <f t="shared" ref="W263:W316" si="158">13.33*E263+N263</f>
        <v>203290</v>
      </c>
      <c r="X263" s="6"/>
      <c r="Y263" s="6">
        <f t="shared" ref="Y263:Y316" si="159">W263+(W263*U263)</f>
        <v>234565.3846</v>
      </c>
      <c r="Z263" s="3"/>
    </row>
    <row r="264">
      <c r="A264" s="1">
        <v>119276.0</v>
      </c>
      <c r="B264" s="1" t="s">
        <v>1034</v>
      </c>
      <c r="C264" s="1" t="s">
        <v>1035</v>
      </c>
      <c r="D264" s="1" t="s">
        <v>28</v>
      </c>
      <c r="E264" s="2">
        <v>18000.0</v>
      </c>
      <c r="F264" s="2">
        <v>20000.0</v>
      </c>
      <c r="G264" s="1" t="s">
        <v>29</v>
      </c>
      <c r="H264" s="1" t="s">
        <v>1012</v>
      </c>
      <c r="I264" s="1" t="s">
        <v>212</v>
      </c>
      <c r="J264" s="1" t="s">
        <v>60</v>
      </c>
      <c r="K264" s="3"/>
      <c r="L264" s="1" t="s">
        <v>32</v>
      </c>
      <c r="M264" s="1" t="s">
        <v>69</v>
      </c>
      <c r="N264" s="1">
        <v>8000.0</v>
      </c>
      <c r="O264" s="1" t="s">
        <v>199</v>
      </c>
      <c r="P264" s="1" t="s">
        <v>35</v>
      </c>
      <c r="Q264" s="1" t="s">
        <v>36</v>
      </c>
      <c r="R264" s="1" t="s">
        <v>35</v>
      </c>
      <c r="S264" s="4" t="s">
        <v>63</v>
      </c>
      <c r="T264" s="1" t="s">
        <v>1036</v>
      </c>
      <c r="U264" s="5">
        <f t="shared" si="156"/>
        <v>0.1111111111</v>
      </c>
      <c r="V264" s="5">
        <f t="shared" si="157"/>
        <v>0</v>
      </c>
      <c r="W264" s="6">
        <f t="shared" si="158"/>
        <v>247940</v>
      </c>
      <c r="X264" s="6"/>
      <c r="Y264" s="6">
        <f t="shared" si="159"/>
        <v>275488.8889</v>
      </c>
      <c r="Z264" s="3"/>
    </row>
    <row r="265">
      <c r="A265" s="1">
        <v>114814.0</v>
      </c>
      <c r="B265" s="1" t="s">
        <v>1037</v>
      </c>
      <c r="C265" s="1" t="s">
        <v>1038</v>
      </c>
      <c r="D265" s="1" t="s">
        <v>28</v>
      </c>
      <c r="E265" s="2">
        <v>26500.0</v>
      </c>
      <c r="F265" s="2">
        <v>35000.0</v>
      </c>
      <c r="G265" s="1" t="s">
        <v>29</v>
      </c>
      <c r="H265" s="1" t="s">
        <v>1039</v>
      </c>
      <c r="I265" s="1" t="s">
        <v>1040</v>
      </c>
      <c r="J265" s="1" t="s">
        <v>77</v>
      </c>
      <c r="K265" s="1" t="s">
        <v>68</v>
      </c>
      <c r="L265" s="1" t="s">
        <v>51</v>
      </c>
      <c r="M265" s="1" t="s">
        <v>33</v>
      </c>
      <c r="N265" s="1">
        <v>100000.0</v>
      </c>
      <c r="O265" s="1" t="s">
        <v>199</v>
      </c>
      <c r="P265" s="1" t="s">
        <v>53</v>
      </c>
      <c r="Q265" s="1" t="s">
        <v>36</v>
      </c>
      <c r="R265" s="1" t="s">
        <v>35</v>
      </c>
      <c r="S265" s="4" t="s">
        <v>63</v>
      </c>
      <c r="T265" s="1" t="s">
        <v>1041</v>
      </c>
      <c r="U265" s="5">
        <f t="shared" si="156"/>
        <v>0.320754717</v>
      </c>
      <c r="V265" s="5">
        <f t="shared" si="157"/>
        <v>3</v>
      </c>
      <c r="W265" s="6">
        <f t="shared" si="158"/>
        <v>453245</v>
      </c>
      <c r="X265" s="6" t="str">
        <f t="shared" ref="X265:X267" si="160">IF(W265&lt;100000,"abaixo de R$100.000",IF(AND(W265&gt;=100000,W265&lt;200000),"R$100.000 - R$200.000",IF(AND(W265&gt;=200000,W265&lt;300000),"R$200.000 - R$300.000",IF(AND(W265&gt;=300000,W265&lt;400000),"R$300.000 - R$400.000",IF(AND(W265&gt;=400000,W265&lt;500000),"R$400.000 - R$500.000",IF(AND(W265&gt;=500000,W265&lt;600000),"R$500.000 - R$600.000",IF(AND(W265&gt;=600000,W265&lt;700000),"R$600.000 - R$700.000",IF(AND(W265&gt;=700000,W265&lt;800000),"R$700.000 - R$800.000",IF(AND(W265&gt;=800000,W265&lt;900000),"R$800.000 - R$900.000","Superior a R$900.000")))))))))</f>
        <v>R$400.000 - R$500.000</v>
      </c>
      <c r="Y265" s="6">
        <f t="shared" si="159"/>
        <v>598625.4717</v>
      </c>
      <c r="Z265" s="3" t="str">
        <f t="shared" ref="Z265:Z267" si="161">IF(Y265&lt;100000,"abaixo de R$100.000",IF(AND(Y265&gt;=100000,Y265&lt;200000),"R$100.000 - R$200.000",IF(AND(Y265&gt;=200000,Y265&lt;300000),"R$200.000 - R$300.000",IF(AND(Y265&gt;=300000,Y265&lt;400000),"R$300.000 - R$400.000",IF(AND(Y265&gt;=400000,Y265&lt;500000),"R$400.000 - R$500.000",IF(AND(Y265&gt;=500000,Y265&lt;600000),"R$500.000 - R$600.000",IF(AND(Y265&gt;=600000,Y265&lt;700000),"R$600.000 - R$700.000",IF(AND(Y265&gt;=700000,Y265&lt;800000),"R$700.000 - R$800.000",IF(AND(Y265&gt;=800000,Y265&lt;900000),"R$800.000 - R$900.000","Superior a R$900.000")))))))))</f>
        <v>R$500.000 - R$600.000</v>
      </c>
    </row>
    <row r="266">
      <c r="A266" s="1">
        <v>110510.0</v>
      </c>
      <c r="B266" s="1" t="s">
        <v>1042</v>
      </c>
      <c r="C266" s="1" t="s">
        <v>1043</v>
      </c>
      <c r="D266" s="1" t="s">
        <v>28</v>
      </c>
      <c r="E266" s="2">
        <v>30000.0</v>
      </c>
      <c r="F266" s="2">
        <v>40000.0</v>
      </c>
      <c r="G266" s="1" t="s">
        <v>75</v>
      </c>
      <c r="H266" s="1" t="s">
        <v>1039</v>
      </c>
      <c r="I266" s="1" t="s">
        <v>1044</v>
      </c>
      <c r="J266" s="1" t="s">
        <v>77</v>
      </c>
      <c r="K266" s="1" t="s">
        <v>1045</v>
      </c>
      <c r="L266" s="1" t="s">
        <v>32</v>
      </c>
      <c r="M266" s="1" t="s">
        <v>52</v>
      </c>
      <c r="N266" s="1">
        <v>100000.0</v>
      </c>
      <c r="O266" s="1" t="s">
        <v>178</v>
      </c>
      <c r="P266" s="1" t="s">
        <v>35</v>
      </c>
      <c r="Q266" s="1" t="s">
        <v>36</v>
      </c>
      <c r="R266" s="1" t="s">
        <v>35</v>
      </c>
      <c r="S266" s="4" t="s">
        <v>63</v>
      </c>
      <c r="T266" s="1" t="s">
        <v>1046</v>
      </c>
      <c r="U266" s="5">
        <f t="shared" si="156"/>
        <v>0.3333333333</v>
      </c>
      <c r="V266" s="5">
        <f t="shared" si="157"/>
        <v>3</v>
      </c>
      <c r="W266" s="6">
        <f t="shared" si="158"/>
        <v>499900</v>
      </c>
      <c r="X266" s="6" t="str">
        <f t="shared" si="160"/>
        <v>R$400.000 - R$500.000</v>
      </c>
      <c r="Y266" s="6">
        <f t="shared" si="159"/>
        <v>666533.3333</v>
      </c>
      <c r="Z266" s="3" t="str">
        <f t="shared" si="161"/>
        <v>R$600.000 - R$700.000</v>
      </c>
    </row>
    <row r="267">
      <c r="A267" s="1">
        <v>208268.0</v>
      </c>
      <c r="B267" s="1" t="s">
        <v>1047</v>
      </c>
      <c r="C267" s="1" t="s">
        <v>1048</v>
      </c>
      <c r="D267" s="1" t="s">
        <v>28</v>
      </c>
      <c r="E267" s="2">
        <v>40000.0</v>
      </c>
      <c r="F267" s="2">
        <v>40000.0</v>
      </c>
      <c r="G267" s="1" t="s">
        <v>29</v>
      </c>
      <c r="H267" s="1" t="s">
        <v>1039</v>
      </c>
      <c r="I267" s="1" t="s">
        <v>1049</v>
      </c>
      <c r="J267" s="1" t="s">
        <v>77</v>
      </c>
      <c r="K267" s="3"/>
      <c r="L267" s="1" t="s">
        <v>51</v>
      </c>
      <c r="M267" s="1" t="s">
        <v>33</v>
      </c>
      <c r="N267" s="1">
        <v>240000.0</v>
      </c>
      <c r="O267" s="1" t="s">
        <v>44</v>
      </c>
      <c r="P267" s="1" t="s">
        <v>35</v>
      </c>
      <c r="Q267" s="1" t="s">
        <v>36</v>
      </c>
      <c r="R267" s="1" t="s">
        <v>35</v>
      </c>
      <c r="S267" s="4" t="s">
        <v>63</v>
      </c>
      <c r="T267" s="1" t="s">
        <v>256</v>
      </c>
      <c r="U267" s="5">
        <f t="shared" si="156"/>
        <v>0</v>
      </c>
      <c r="V267" s="5">
        <f t="shared" si="157"/>
        <v>6</v>
      </c>
      <c r="W267" s="6">
        <f t="shared" si="158"/>
        <v>773200</v>
      </c>
      <c r="X267" s="6" t="str">
        <f t="shared" si="160"/>
        <v>R$700.000 - R$800.000</v>
      </c>
      <c r="Y267" s="6">
        <f t="shared" si="159"/>
        <v>773200</v>
      </c>
      <c r="Z267" s="3" t="str">
        <f t="shared" si="161"/>
        <v>R$700.000 - R$800.000</v>
      </c>
    </row>
    <row r="268">
      <c r="A268" s="1">
        <v>125027.0</v>
      </c>
      <c r="B268" s="1" t="s">
        <v>1050</v>
      </c>
      <c r="C268" s="1" t="s">
        <v>1051</v>
      </c>
      <c r="D268" s="1" t="s">
        <v>28</v>
      </c>
      <c r="E268" s="2">
        <v>17000.0</v>
      </c>
      <c r="F268" s="2">
        <v>17000.0</v>
      </c>
      <c r="G268" s="1" t="s">
        <v>29</v>
      </c>
      <c r="H268" s="1" t="s">
        <v>1052</v>
      </c>
      <c r="I268" s="1" t="s">
        <v>1053</v>
      </c>
      <c r="J268" s="1" t="s">
        <v>31</v>
      </c>
      <c r="K268" s="1" t="s">
        <v>1054</v>
      </c>
      <c r="L268" s="1" t="s">
        <v>43</v>
      </c>
      <c r="M268" s="1" t="s">
        <v>52</v>
      </c>
      <c r="N268" s="1">
        <v>0.0</v>
      </c>
      <c r="O268" s="1" t="s">
        <v>280</v>
      </c>
      <c r="P268" s="1" t="s">
        <v>53</v>
      </c>
      <c r="Q268" s="1" t="s">
        <v>36</v>
      </c>
      <c r="R268" s="1" t="s">
        <v>35</v>
      </c>
      <c r="S268" s="4" t="s">
        <v>63</v>
      </c>
      <c r="T268" s="1" t="s">
        <v>337</v>
      </c>
      <c r="U268" s="5">
        <f t="shared" si="156"/>
        <v>0</v>
      </c>
      <c r="V268" s="5">
        <f t="shared" si="157"/>
        <v>0</v>
      </c>
      <c r="W268" s="6">
        <f t="shared" si="158"/>
        <v>226610</v>
      </c>
      <c r="X268" s="6"/>
      <c r="Y268" s="6">
        <f t="shared" si="159"/>
        <v>226610</v>
      </c>
      <c r="Z268" s="3"/>
    </row>
    <row r="269">
      <c r="A269" s="1">
        <v>154508.0</v>
      </c>
      <c r="B269" s="1" t="s">
        <v>1055</v>
      </c>
      <c r="C269" s="1" t="s">
        <v>1056</v>
      </c>
      <c r="D269" s="1" t="s">
        <v>28</v>
      </c>
      <c r="E269" s="2">
        <v>16000.0</v>
      </c>
      <c r="F269" s="2">
        <v>19200.0</v>
      </c>
      <c r="G269" s="1" t="s">
        <v>29</v>
      </c>
      <c r="H269" s="1" t="s">
        <v>1057</v>
      </c>
      <c r="I269" s="1" t="s">
        <v>212</v>
      </c>
      <c r="J269" s="1" t="s">
        <v>60</v>
      </c>
      <c r="K269" s="3"/>
      <c r="L269" s="1" t="s">
        <v>51</v>
      </c>
      <c r="M269" s="1" t="s">
        <v>33</v>
      </c>
      <c r="N269" s="1">
        <v>2738.0</v>
      </c>
      <c r="O269" s="1" t="s">
        <v>119</v>
      </c>
      <c r="P269" s="1" t="s">
        <v>53</v>
      </c>
      <c r="Q269" s="1" t="s">
        <v>54</v>
      </c>
      <c r="R269" s="1" t="s">
        <v>35</v>
      </c>
      <c r="S269" s="4" t="s">
        <v>63</v>
      </c>
      <c r="T269" s="1" t="s">
        <v>244</v>
      </c>
      <c r="U269" s="5">
        <f t="shared" si="156"/>
        <v>0.2</v>
      </c>
      <c r="V269" s="5">
        <f t="shared" si="157"/>
        <v>0</v>
      </c>
      <c r="W269" s="6">
        <f t="shared" si="158"/>
        <v>216018</v>
      </c>
      <c r="X269" s="6"/>
      <c r="Y269" s="6">
        <f t="shared" si="159"/>
        <v>259221.6</v>
      </c>
      <c r="Z269" s="3"/>
    </row>
    <row r="270">
      <c r="A270" s="1">
        <v>222878.0</v>
      </c>
      <c r="B270" s="1" t="s">
        <v>1058</v>
      </c>
      <c r="C270" s="1" t="s">
        <v>1059</v>
      </c>
      <c r="D270" s="1" t="s">
        <v>28</v>
      </c>
      <c r="E270" s="2">
        <v>13800.0</v>
      </c>
      <c r="F270" s="2">
        <v>20000.0</v>
      </c>
      <c r="G270" s="1" t="s">
        <v>29</v>
      </c>
      <c r="H270" s="1" t="s">
        <v>1060</v>
      </c>
      <c r="I270" s="1" t="s">
        <v>1061</v>
      </c>
      <c r="J270" s="1" t="s">
        <v>77</v>
      </c>
      <c r="K270" s="3"/>
      <c r="L270" s="1" t="s">
        <v>51</v>
      </c>
      <c r="M270" s="1" t="s">
        <v>52</v>
      </c>
      <c r="N270" s="1">
        <v>60000.0</v>
      </c>
      <c r="O270" s="1" t="s">
        <v>280</v>
      </c>
      <c r="P270" s="1" t="s">
        <v>53</v>
      </c>
      <c r="Q270" s="1" t="s">
        <v>36</v>
      </c>
      <c r="R270" s="1" t="s">
        <v>35</v>
      </c>
      <c r="S270" s="4" t="s">
        <v>63</v>
      </c>
      <c r="T270" s="1" t="s">
        <v>1062</v>
      </c>
      <c r="U270" s="5">
        <f t="shared" si="156"/>
        <v>0.4492753623</v>
      </c>
      <c r="V270" s="5">
        <f t="shared" si="157"/>
        <v>4</v>
      </c>
      <c r="W270" s="6">
        <f t="shared" si="158"/>
        <v>243954</v>
      </c>
      <c r="X270" s="6"/>
      <c r="Y270" s="6">
        <f t="shared" si="159"/>
        <v>353556.5217</v>
      </c>
      <c r="Z270" s="3"/>
    </row>
    <row r="271">
      <c r="A271" s="1">
        <v>152103.0</v>
      </c>
      <c r="B271" s="1" t="s">
        <v>1063</v>
      </c>
      <c r="C271" s="1" t="s">
        <v>1064</v>
      </c>
      <c r="D271" s="1" t="s">
        <v>28</v>
      </c>
      <c r="E271" s="2">
        <v>38000.0</v>
      </c>
      <c r="F271" s="2">
        <v>45000.0</v>
      </c>
      <c r="G271" s="1" t="s">
        <v>29</v>
      </c>
      <c r="H271" s="1" t="s">
        <v>1065</v>
      </c>
      <c r="I271" s="1" t="s">
        <v>1066</v>
      </c>
      <c r="J271" s="1" t="s">
        <v>60</v>
      </c>
      <c r="K271" s="3"/>
      <c r="L271" s="1" t="s">
        <v>51</v>
      </c>
      <c r="M271" s="1" t="s">
        <v>52</v>
      </c>
      <c r="N271" s="1">
        <v>100000.0</v>
      </c>
      <c r="O271" s="1" t="s">
        <v>44</v>
      </c>
      <c r="P271" s="1" t="s">
        <v>53</v>
      </c>
      <c r="Q271" s="1" t="s">
        <v>36</v>
      </c>
      <c r="R271" s="1" t="s">
        <v>35</v>
      </c>
      <c r="S271" s="4" t="s">
        <v>63</v>
      </c>
      <c r="T271" s="1" t="s">
        <v>264</v>
      </c>
      <c r="U271" s="5">
        <f t="shared" si="156"/>
        <v>0.1842105263</v>
      </c>
      <c r="V271" s="5">
        <f t="shared" si="157"/>
        <v>2</v>
      </c>
      <c r="W271" s="6">
        <f t="shared" si="158"/>
        <v>606540</v>
      </c>
      <c r="X271" s="6" t="str">
        <f t="shared" ref="X271:X280" si="162">IF(W271&lt;100000,"abaixo de R$100.000",IF(AND(W271&gt;=100000,W271&lt;200000),"R$100.000 - R$200.000",IF(AND(W271&gt;=200000,W271&lt;300000),"R$200.000 - R$300.000",IF(AND(W271&gt;=300000,W271&lt;400000),"R$300.000 - R$400.000",IF(AND(W271&gt;=400000,W271&lt;500000),"R$400.000 - R$500.000",IF(AND(W271&gt;=500000,W271&lt;600000),"R$500.000 - R$600.000",IF(AND(W271&gt;=600000,W271&lt;700000),"R$600.000 - R$700.000",IF(AND(W271&gt;=700000,W271&lt;800000),"R$700.000 - R$800.000",IF(AND(W271&gt;=800000,W271&lt;900000),"R$800.000 - R$900.000","Superior a R$900.000")))))))))</f>
        <v>R$600.000 - R$700.000</v>
      </c>
      <c r="Y271" s="6">
        <f t="shared" si="159"/>
        <v>718271.0526</v>
      </c>
      <c r="Z271" s="3" t="str">
        <f t="shared" ref="Z271:Z316" si="163">IF(Y271&lt;100000,"abaixo de R$100.000",IF(AND(Y271&gt;=100000,Y271&lt;200000),"R$100.000 - R$200.000",IF(AND(Y271&gt;=200000,Y271&lt;300000),"R$200.000 - R$300.000",IF(AND(Y271&gt;=300000,Y271&lt;400000),"R$300.000 - R$400.000",IF(AND(Y271&gt;=400000,Y271&lt;500000),"R$400.000 - R$500.000",IF(AND(Y271&gt;=500000,Y271&lt;600000),"R$500.000 - R$600.000",IF(AND(Y271&gt;=600000,Y271&lt;700000),"R$600.000 - R$700.000",IF(AND(Y271&gt;=700000,Y271&lt;800000),"R$700.000 - R$800.000",IF(AND(Y271&gt;=800000,Y271&lt;900000),"R$800.000 - R$900.000","Superior a R$900.000")))))))))</f>
        <v>R$700.000 - R$800.000</v>
      </c>
    </row>
    <row r="272">
      <c r="A272" s="1">
        <v>152089.0</v>
      </c>
      <c r="B272" s="1" t="s">
        <v>1067</v>
      </c>
      <c r="C272" s="1" t="s">
        <v>1068</v>
      </c>
      <c r="D272" s="1" t="s">
        <v>28</v>
      </c>
      <c r="E272" s="2">
        <v>15000.0</v>
      </c>
      <c r="F272" s="2">
        <v>20000.0</v>
      </c>
      <c r="G272" s="1" t="s">
        <v>29</v>
      </c>
      <c r="H272" s="1" t="s">
        <v>569</v>
      </c>
      <c r="I272" s="1" t="s">
        <v>1069</v>
      </c>
      <c r="J272" s="1" t="s">
        <v>60</v>
      </c>
      <c r="K272" s="3"/>
      <c r="L272" s="1" t="s">
        <v>32</v>
      </c>
      <c r="M272" s="1" t="s">
        <v>52</v>
      </c>
      <c r="N272" s="1">
        <v>250000.0</v>
      </c>
      <c r="O272" s="1" t="s">
        <v>119</v>
      </c>
      <c r="P272" s="1" t="s">
        <v>53</v>
      </c>
      <c r="Q272" s="1" t="s">
        <v>36</v>
      </c>
      <c r="R272" s="1" t="s">
        <v>35</v>
      </c>
      <c r="S272" s="4" t="s">
        <v>63</v>
      </c>
      <c r="T272" s="1" t="s">
        <v>1070</v>
      </c>
      <c r="U272" s="5">
        <f t="shared" si="156"/>
        <v>0.3333333333</v>
      </c>
      <c r="V272" s="5">
        <f t="shared" si="157"/>
        <v>16</v>
      </c>
      <c r="W272" s="6">
        <f t="shared" si="158"/>
        <v>449950</v>
      </c>
      <c r="X272" s="6" t="str">
        <f t="shared" si="162"/>
        <v>R$400.000 - R$500.000</v>
      </c>
      <c r="Y272" s="6">
        <f t="shared" si="159"/>
        <v>599933.3333</v>
      </c>
      <c r="Z272" s="3" t="str">
        <f t="shared" si="163"/>
        <v>R$500.000 - R$600.000</v>
      </c>
    </row>
    <row r="273">
      <c r="A273" s="1">
        <v>222616.0</v>
      </c>
      <c r="B273" s="1" t="s">
        <v>1071</v>
      </c>
      <c r="C273" s="1" t="s">
        <v>1072</v>
      </c>
      <c r="D273" s="1" t="s">
        <v>28</v>
      </c>
      <c r="E273" s="2">
        <v>20000.0</v>
      </c>
      <c r="F273" s="2">
        <v>25000.0</v>
      </c>
      <c r="G273" s="1" t="s">
        <v>29</v>
      </c>
      <c r="H273" s="1" t="s">
        <v>569</v>
      </c>
      <c r="I273" s="1" t="s">
        <v>148</v>
      </c>
      <c r="J273" s="1" t="s">
        <v>77</v>
      </c>
      <c r="K273" s="3"/>
      <c r="L273" s="1" t="s">
        <v>61</v>
      </c>
      <c r="M273" s="1" t="s">
        <v>69</v>
      </c>
      <c r="N273" s="1">
        <v>200000.0</v>
      </c>
      <c r="O273" s="1" t="s">
        <v>62</v>
      </c>
      <c r="P273" s="1" t="s">
        <v>35</v>
      </c>
      <c r="Q273" s="1" t="s">
        <v>54</v>
      </c>
      <c r="R273" s="1" t="s">
        <v>35</v>
      </c>
      <c r="S273" s="4" t="s">
        <v>63</v>
      </c>
      <c r="T273" s="1" t="s">
        <v>921</v>
      </c>
      <c r="U273" s="5">
        <f t="shared" si="156"/>
        <v>0.25</v>
      </c>
      <c r="V273" s="5">
        <f t="shared" si="157"/>
        <v>10</v>
      </c>
      <c r="W273" s="6">
        <f t="shared" si="158"/>
        <v>466600</v>
      </c>
      <c r="X273" s="6" t="str">
        <f t="shared" si="162"/>
        <v>R$400.000 - R$500.000</v>
      </c>
      <c r="Y273" s="6">
        <f t="shared" si="159"/>
        <v>583250</v>
      </c>
      <c r="Z273" s="3" t="str">
        <f t="shared" si="163"/>
        <v>R$500.000 - R$600.000</v>
      </c>
    </row>
    <row r="274">
      <c r="A274" s="1">
        <v>116964.0</v>
      </c>
      <c r="B274" s="1" t="s">
        <v>1073</v>
      </c>
      <c r="C274" s="1" t="s">
        <v>1074</v>
      </c>
      <c r="D274" s="1" t="s">
        <v>28</v>
      </c>
      <c r="E274" s="2">
        <v>22000.0</v>
      </c>
      <c r="F274" s="2">
        <v>30000.0</v>
      </c>
      <c r="G274" s="1" t="s">
        <v>29</v>
      </c>
      <c r="H274" s="1" t="s">
        <v>569</v>
      </c>
      <c r="I274" s="1" t="s">
        <v>1075</v>
      </c>
      <c r="J274" s="1" t="s">
        <v>31</v>
      </c>
      <c r="K274" s="3"/>
      <c r="L274" s="1" t="s">
        <v>32</v>
      </c>
      <c r="M274" s="1" t="s">
        <v>33</v>
      </c>
      <c r="N274" s="1">
        <v>130000.0</v>
      </c>
      <c r="O274" s="1" t="s">
        <v>119</v>
      </c>
      <c r="P274" s="1" t="s">
        <v>35</v>
      </c>
      <c r="Q274" s="1" t="s">
        <v>54</v>
      </c>
      <c r="R274" s="1" t="s">
        <v>35</v>
      </c>
      <c r="S274" s="4" t="s">
        <v>63</v>
      </c>
      <c r="T274" s="1" t="s">
        <v>264</v>
      </c>
      <c r="U274" s="5">
        <f t="shared" si="156"/>
        <v>0.3636363636</v>
      </c>
      <c r="V274" s="5">
        <f t="shared" si="157"/>
        <v>5</v>
      </c>
      <c r="W274" s="6">
        <f t="shared" si="158"/>
        <v>423260</v>
      </c>
      <c r="X274" s="6" t="str">
        <f t="shared" si="162"/>
        <v>R$400.000 - R$500.000</v>
      </c>
      <c r="Y274" s="6">
        <f t="shared" si="159"/>
        <v>577172.7273</v>
      </c>
      <c r="Z274" s="3" t="str">
        <f t="shared" si="163"/>
        <v>R$500.000 - R$600.000</v>
      </c>
    </row>
    <row r="275">
      <c r="A275" s="1">
        <v>150715.0</v>
      </c>
      <c r="B275" s="1" t="s">
        <v>1076</v>
      </c>
      <c r="C275" s="1" t="s">
        <v>1077</v>
      </c>
      <c r="D275" s="1" t="s">
        <v>28</v>
      </c>
      <c r="E275" s="2">
        <v>25000.0</v>
      </c>
      <c r="F275" s="2">
        <v>28000.0</v>
      </c>
      <c r="G275" s="1" t="s">
        <v>29</v>
      </c>
      <c r="H275" s="1" t="s">
        <v>569</v>
      </c>
      <c r="I275" s="1" t="s">
        <v>1078</v>
      </c>
      <c r="J275" s="1" t="s">
        <v>77</v>
      </c>
      <c r="K275" s="3"/>
      <c r="L275" s="1" t="s">
        <v>32</v>
      </c>
      <c r="M275" s="1" t="s">
        <v>52</v>
      </c>
      <c r="N275" s="1">
        <v>150000.0</v>
      </c>
      <c r="O275" s="1" t="s">
        <v>34</v>
      </c>
      <c r="P275" s="1" t="s">
        <v>35</v>
      </c>
      <c r="Q275" s="1" t="s">
        <v>36</v>
      </c>
      <c r="R275" s="1" t="s">
        <v>35</v>
      </c>
      <c r="S275" s="4" t="s">
        <v>63</v>
      </c>
      <c r="T275" s="1" t="s">
        <v>570</v>
      </c>
      <c r="U275" s="5">
        <f t="shared" si="156"/>
        <v>0.12</v>
      </c>
      <c r="V275" s="5">
        <f t="shared" si="157"/>
        <v>6</v>
      </c>
      <c r="W275" s="6">
        <f t="shared" si="158"/>
        <v>483250</v>
      </c>
      <c r="X275" s="6" t="str">
        <f t="shared" si="162"/>
        <v>R$400.000 - R$500.000</v>
      </c>
      <c r="Y275" s="6">
        <f t="shared" si="159"/>
        <v>541240</v>
      </c>
      <c r="Z275" s="3" t="str">
        <f t="shared" si="163"/>
        <v>R$500.000 - R$600.000</v>
      </c>
    </row>
    <row r="276">
      <c r="A276" s="1">
        <v>117909.0</v>
      </c>
      <c r="B276" s="1" t="s">
        <v>1079</v>
      </c>
      <c r="C276" s="1" t="s">
        <v>1080</v>
      </c>
      <c r="D276" s="1" t="s">
        <v>28</v>
      </c>
      <c r="E276" s="2">
        <v>25000.0</v>
      </c>
      <c r="F276" s="2">
        <v>30000.0</v>
      </c>
      <c r="G276" s="1" t="s">
        <v>29</v>
      </c>
      <c r="H276" s="1" t="s">
        <v>569</v>
      </c>
      <c r="I276" s="1" t="s">
        <v>1081</v>
      </c>
      <c r="J276" s="1" t="s">
        <v>77</v>
      </c>
      <c r="K276" s="3"/>
      <c r="L276" s="1" t="s">
        <v>51</v>
      </c>
      <c r="M276" s="1" t="s">
        <v>52</v>
      </c>
      <c r="N276" s="1">
        <v>120000.0</v>
      </c>
      <c r="O276" s="1" t="s">
        <v>70</v>
      </c>
      <c r="P276" s="1" t="s">
        <v>35</v>
      </c>
      <c r="Q276" s="1" t="s">
        <v>36</v>
      </c>
      <c r="R276" s="1" t="s">
        <v>35</v>
      </c>
      <c r="S276" s="4" t="s">
        <v>37</v>
      </c>
      <c r="T276" s="1" t="s">
        <v>880</v>
      </c>
      <c r="U276" s="5">
        <f t="shared" si="156"/>
        <v>0.2</v>
      </c>
      <c r="V276" s="5">
        <f t="shared" si="157"/>
        <v>4</v>
      </c>
      <c r="W276" s="6">
        <f t="shared" si="158"/>
        <v>453250</v>
      </c>
      <c r="X276" s="6" t="str">
        <f t="shared" si="162"/>
        <v>R$400.000 - R$500.000</v>
      </c>
      <c r="Y276" s="6">
        <f t="shared" si="159"/>
        <v>543900</v>
      </c>
      <c r="Z276" s="3" t="str">
        <f t="shared" si="163"/>
        <v>R$500.000 - R$600.000</v>
      </c>
    </row>
    <row r="277">
      <c r="A277" s="1">
        <v>222337.0</v>
      </c>
      <c r="B277" s="1" t="s">
        <v>1082</v>
      </c>
      <c r="C277" s="1" t="s">
        <v>1083</v>
      </c>
      <c r="D277" s="1" t="s">
        <v>28</v>
      </c>
      <c r="E277" s="2">
        <v>27000.0</v>
      </c>
      <c r="F277" s="2">
        <v>30000.0</v>
      </c>
      <c r="G277" s="1" t="s">
        <v>29</v>
      </c>
      <c r="H277" s="1" t="s">
        <v>569</v>
      </c>
      <c r="I277" s="1" t="s">
        <v>456</v>
      </c>
      <c r="J277" s="1" t="s">
        <v>77</v>
      </c>
      <c r="K277" s="3"/>
      <c r="L277" s="1" t="s">
        <v>51</v>
      </c>
      <c r="M277" s="1" t="s">
        <v>33</v>
      </c>
      <c r="N277" s="1">
        <v>80000.0</v>
      </c>
      <c r="O277" s="1" t="s">
        <v>119</v>
      </c>
      <c r="P277" s="1" t="s">
        <v>35</v>
      </c>
      <c r="Q277" s="1" t="s">
        <v>54</v>
      </c>
      <c r="R277" s="1" t="s">
        <v>35</v>
      </c>
      <c r="S277" s="4" t="s">
        <v>37</v>
      </c>
      <c r="T277" s="1" t="s">
        <v>375</v>
      </c>
      <c r="U277" s="5">
        <f t="shared" si="156"/>
        <v>0.1111111111</v>
      </c>
      <c r="V277" s="5">
        <f t="shared" si="157"/>
        <v>2</v>
      </c>
      <c r="W277" s="6">
        <f t="shared" si="158"/>
        <v>439910</v>
      </c>
      <c r="X277" s="6" t="str">
        <f t="shared" si="162"/>
        <v>R$400.000 - R$500.000</v>
      </c>
      <c r="Y277" s="6">
        <f t="shared" si="159"/>
        <v>488788.8889</v>
      </c>
      <c r="Z277" s="3" t="str">
        <f t="shared" si="163"/>
        <v>R$400.000 - R$500.000</v>
      </c>
    </row>
    <row r="278">
      <c r="A278" s="1">
        <v>164716.0</v>
      </c>
      <c r="B278" s="1" t="s">
        <v>1084</v>
      </c>
      <c r="C278" s="1" t="s">
        <v>1085</v>
      </c>
      <c r="D278" s="1" t="s">
        <v>28</v>
      </c>
      <c r="E278" s="2">
        <v>27000.0</v>
      </c>
      <c r="F278" s="2">
        <v>35000.0</v>
      </c>
      <c r="G278" s="1" t="s">
        <v>29</v>
      </c>
      <c r="H278" s="1" t="s">
        <v>569</v>
      </c>
      <c r="I278" s="1" t="s">
        <v>99</v>
      </c>
      <c r="J278" s="1" t="s">
        <v>31</v>
      </c>
      <c r="K278" s="3"/>
      <c r="L278" s="1" t="s">
        <v>51</v>
      </c>
      <c r="M278" s="1" t="s">
        <v>52</v>
      </c>
      <c r="N278" s="1">
        <v>80000.0</v>
      </c>
      <c r="O278" s="1" t="s">
        <v>119</v>
      </c>
      <c r="P278" s="1" t="s">
        <v>53</v>
      </c>
      <c r="Q278" s="1" t="s">
        <v>36</v>
      </c>
      <c r="R278" s="1" t="s">
        <v>35</v>
      </c>
      <c r="S278" s="4" t="s">
        <v>37</v>
      </c>
      <c r="T278" s="1" t="s">
        <v>440</v>
      </c>
      <c r="U278" s="5">
        <f t="shared" si="156"/>
        <v>0.2962962963</v>
      </c>
      <c r="V278" s="5">
        <f t="shared" si="157"/>
        <v>2</v>
      </c>
      <c r="W278" s="6">
        <f t="shared" si="158"/>
        <v>439910</v>
      </c>
      <c r="X278" s="6" t="str">
        <f t="shared" si="162"/>
        <v>R$400.000 - R$500.000</v>
      </c>
      <c r="Y278" s="6">
        <f t="shared" si="159"/>
        <v>570253.7037</v>
      </c>
      <c r="Z278" s="3" t="str">
        <f t="shared" si="163"/>
        <v>R$500.000 - R$600.000</v>
      </c>
    </row>
    <row r="279">
      <c r="A279" s="1">
        <v>154245.0</v>
      </c>
      <c r="B279" s="1" t="s">
        <v>1086</v>
      </c>
      <c r="C279" s="1" t="s">
        <v>1087</v>
      </c>
      <c r="D279" s="1" t="s">
        <v>28</v>
      </c>
      <c r="E279" s="2">
        <v>28000.0</v>
      </c>
      <c r="F279" s="2">
        <v>30000.0</v>
      </c>
      <c r="G279" s="1" t="s">
        <v>29</v>
      </c>
      <c r="H279" s="1" t="s">
        <v>569</v>
      </c>
      <c r="I279" s="1" t="s">
        <v>1088</v>
      </c>
      <c r="J279" s="1" t="s">
        <v>60</v>
      </c>
      <c r="K279" s="3"/>
      <c r="L279" s="1" t="s">
        <v>51</v>
      </c>
      <c r="M279" s="1" t="s">
        <v>33</v>
      </c>
      <c r="N279" s="1">
        <v>56000.0</v>
      </c>
      <c r="O279" s="1" t="s">
        <v>70</v>
      </c>
      <c r="P279" s="1" t="s">
        <v>35</v>
      </c>
      <c r="Q279" s="1" t="s">
        <v>36</v>
      </c>
      <c r="R279" s="1" t="s">
        <v>35</v>
      </c>
      <c r="S279" s="4" t="s">
        <v>37</v>
      </c>
      <c r="T279" s="1" t="s">
        <v>1089</v>
      </c>
      <c r="U279" s="5">
        <f t="shared" si="156"/>
        <v>0.07142857143</v>
      </c>
      <c r="V279" s="5">
        <f t="shared" si="157"/>
        <v>2</v>
      </c>
      <c r="W279" s="6">
        <f t="shared" si="158"/>
        <v>429240</v>
      </c>
      <c r="X279" s="6" t="str">
        <f t="shared" si="162"/>
        <v>R$400.000 - R$500.000</v>
      </c>
      <c r="Y279" s="6">
        <f t="shared" si="159"/>
        <v>459900</v>
      </c>
      <c r="Z279" s="3" t="str">
        <f t="shared" si="163"/>
        <v>R$400.000 - R$500.000</v>
      </c>
    </row>
    <row r="280">
      <c r="A280" s="1">
        <v>222436.0</v>
      </c>
      <c r="B280" s="1" t="s">
        <v>1090</v>
      </c>
      <c r="C280" s="1">
        <v>25000.0</v>
      </c>
      <c r="D280" s="1" t="s">
        <v>28</v>
      </c>
      <c r="E280" s="2">
        <v>25000.0</v>
      </c>
      <c r="F280" s="2">
        <f>E280*1.2</f>
        <v>30000</v>
      </c>
      <c r="G280" s="1" t="s">
        <v>29</v>
      </c>
      <c r="H280" s="1" t="s">
        <v>569</v>
      </c>
      <c r="I280" s="1" t="s">
        <v>439</v>
      </c>
      <c r="J280" s="1" t="s">
        <v>60</v>
      </c>
      <c r="K280" s="3"/>
      <c r="L280" s="1" t="s">
        <v>32</v>
      </c>
      <c r="M280" s="1" t="s">
        <v>33</v>
      </c>
      <c r="N280" s="1">
        <v>220000.0</v>
      </c>
      <c r="O280" s="1" t="s">
        <v>62</v>
      </c>
      <c r="P280" s="1" t="s">
        <v>53</v>
      </c>
      <c r="Q280" s="1" t="s">
        <v>54</v>
      </c>
      <c r="R280" s="1" t="s">
        <v>35</v>
      </c>
      <c r="S280" s="4" t="s">
        <v>37</v>
      </c>
      <c r="T280" s="1" t="s">
        <v>141</v>
      </c>
      <c r="U280" s="5">
        <f t="shared" si="156"/>
        <v>0.2</v>
      </c>
      <c r="V280" s="5">
        <f t="shared" si="157"/>
        <v>8</v>
      </c>
      <c r="W280" s="6">
        <f t="shared" si="158"/>
        <v>553250</v>
      </c>
      <c r="X280" s="6" t="str">
        <f t="shared" si="162"/>
        <v>R$500.000 - R$600.000</v>
      </c>
      <c r="Y280" s="6">
        <f t="shared" si="159"/>
        <v>663900</v>
      </c>
      <c r="Z280" s="3" t="str">
        <f t="shared" si="163"/>
        <v>R$600.000 - R$700.000</v>
      </c>
    </row>
    <row r="281">
      <c r="A281" s="1">
        <v>130198.0</v>
      </c>
      <c r="B281" s="1" t="s">
        <v>1091</v>
      </c>
      <c r="C281" s="1" t="s">
        <v>1092</v>
      </c>
      <c r="D281" s="1" t="s">
        <v>132</v>
      </c>
      <c r="E281" s="2">
        <v>25000.0</v>
      </c>
      <c r="F281" s="2">
        <v>35000.0</v>
      </c>
      <c r="G281" s="1" t="s">
        <v>29</v>
      </c>
      <c r="H281" s="1" t="s">
        <v>322</v>
      </c>
      <c r="I281" s="1" t="s">
        <v>148</v>
      </c>
      <c r="J281" s="1" t="s">
        <v>77</v>
      </c>
      <c r="K281" s="1" t="s">
        <v>68</v>
      </c>
      <c r="L281" s="1" t="s">
        <v>32</v>
      </c>
      <c r="M281" s="1" t="s">
        <v>52</v>
      </c>
      <c r="N281" s="1">
        <v>15000.0</v>
      </c>
      <c r="O281" s="1" t="s">
        <v>34</v>
      </c>
      <c r="P281" s="1" t="s">
        <v>53</v>
      </c>
      <c r="Q281" s="1" t="s">
        <v>54</v>
      </c>
      <c r="R281" s="1" t="s">
        <v>35</v>
      </c>
      <c r="S281" s="3"/>
      <c r="T281" s="1" t="s">
        <v>696</v>
      </c>
      <c r="U281" s="5">
        <f t="shared" si="156"/>
        <v>0.4</v>
      </c>
      <c r="V281" s="5">
        <f t="shared" si="157"/>
        <v>0</v>
      </c>
      <c r="W281" s="6">
        <f t="shared" si="158"/>
        <v>348250</v>
      </c>
      <c r="X281" s="6"/>
      <c r="Y281" s="6">
        <f t="shared" si="159"/>
        <v>487550</v>
      </c>
      <c r="Z281" s="3" t="str">
        <f t="shared" si="163"/>
        <v>R$400.000 - R$500.000</v>
      </c>
    </row>
    <row r="282">
      <c r="A282" s="1">
        <v>111766.0</v>
      </c>
      <c r="B282" s="1" t="s">
        <v>1093</v>
      </c>
      <c r="C282" s="1" t="s">
        <v>1094</v>
      </c>
      <c r="D282" s="1" t="s">
        <v>28</v>
      </c>
      <c r="E282" s="2">
        <v>25000.0</v>
      </c>
      <c r="F282" s="2">
        <v>30000.0</v>
      </c>
      <c r="G282" s="1" t="s">
        <v>29</v>
      </c>
      <c r="H282" s="1" t="s">
        <v>569</v>
      </c>
      <c r="I282" s="1" t="s">
        <v>1095</v>
      </c>
      <c r="J282" s="1" t="s">
        <v>77</v>
      </c>
      <c r="K282" s="3"/>
      <c r="L282" s="1" t="s">
        <v>43</v>
      </c>
      <c r="M282" s="1" t="s">
        <v>52</v>
      </c>
      <c r="N282" s="1">
        <v>250000.0</v>
      </c>
      <c r="O282" s="1" t="s">
        <v>62</v>
      </c>
      <c r="P282" s="1" t="s">
        <v>53</v>
      </c>
      <c r="Q282" s="1" t="s">
        <v>36</v>
      </c>
      <c r="R282" s="1" t="s">
        <v>35</v>
      </c>
      <c r="S282" s="4" t="s">
        <v>37</v>
      </c>
      <c r="T282" s="1" t="s">
        <v>1096</v>
      </c>
      <c r="U282" s="5">
        <f t="shared" si="156"/>
        <v>0.2</v>
      </c>
      <c r="V282" s="5">
        <f t="shared" si="157"/>
        <v>10</v>
      </c>
      <c r="W282" s="6">
        <f t="shared" si="158"/>
        <v>583250</v>
      </c>
      <c r="X282" s="6" t="str">
        <f t="shared" ref="X282:X295" si="164">IF(W282&lt;100000,"abaixo de R$100.000",IF(AND(W282&gt;=100000,W282&lt;200000),"R$100.000 - R$200.000",IF(AND(W282&gt;=200000,W282&lt;300000),"R$200.000 - R$300.000",IF(AND(W282&gt;=300000,W282&lt;400000),"R$300.000 - R$400.000",IF(AND(W282&gt;=400000,W282&lt;500000),"R$400.000 - R$500.000",IF(AND(W282&gt;=500000,W282&lt;600000),"R$500.000 - R$600.000",IF(AND(W282&gt;=600000,W282&lt;700000),"R$600.000 - R$700.000",IF(AND(W282&gt;=700000,W282&lt;800000),"R$700.000 - R$800.000",IF(AND(W282&gt;=800000,W282&lt;900000),"R$800.000 - R$900.000","Superior a R$900.000")))))))))</f>
        <v>R$500.000 - R$600.000</v>
      </c>
      <c r="Y282" s="6">
        <f t="shared" si="159"/>
        <v>699900</v>
      </c>
      <c r="Z282" s="3" t="str">
        <f t="shared" si="163"/>
        <v>R$600.000 - R$700.000</v>
      </c>
    </row>
    <row r="283">
      <c r="A283" s="1">
        <v>222648.0</v>
      </c>
      <c r="B283" s="1" t="s">
        <v>1097</v>
      </c>
      <c r="C283" s="1" t="s">
        <v>1098</v>
      </c>
      <c r="D283" s="1" t="s">
        <v>28</v>
      </c>
      <c r="E283" s="2">
        <v>30000.0</v>
      </c>
      <c r="F283" s="2">
        <f>E283*1.2</f>
        <v>36000</v>
      </c>
      <c r="G283" s="1" t="s">
        <v>29</v>
      </c>
      <c r="H283" s="1" t="s">
        <v>569</v>
      </c>
      <c r="I283" s="1" t="s">
        <v>1099</v>
      </c>
      <c r="J283" s="1" t="s">
        <v>31</v>
      </c>
      <c r="K283" s="3"/>
      <c r="L283" s="1" t="s">
        <v>32</v>
      </c>
      <c r="M283" s="1" t="s">
        <v>52</v>
      </c>
      <c r="N283" s="1">
        <v>150000.0</v>
      </c>
      <c r="O283" s="1" t="s">
        <v>70</v>
      </c>
      <c r="P283" s="1" t="s">
        <v>35</v>
      </c>
      <c r="Q283" s="1" t="s">
        <v>36</v>
      </c>
      <c r="R283" s="1" t="s">
        <v>35</v>
      </c>
      <c r="S283" s="4" t="s">
        <v>37</v>
      </c>
      <c r="T283" s="1" t="s">
        <v>1100</v>
      </c>
      <c r="U283" s="5">
        <f t="shared" si="156"/>
        <v>0.2</v>
      </c>
      <c r="V283" s="5">
        <f t="shared" si="157"/>
        <v>5</v>
      </c>
      <c r="W283" s="6">
        <f t="shared" si="158"/>
        <v>549900</v>
      </c>
      <c r="X283" s="6" t="str">
        <f t="shared" si="164"/>
        <v>R$500.000 - R$600.000</v>
      </c>
      <c r="Y283" s="6">
        <f t="shared" si="159"/>
        <v>659880</v>
      </c>
      <c r="Z283" s="3" t="str">
        <f t="shared" si="163"/>
        <v>R$600.000 - R$700.000</v>
      </c>
    </row>
    <row r="284">
      <c r="A284" s="1">
        <v>104040.0</v>
      </c>
      <c r="B284" s="1" t="s">
        <v>1101</v>
      </c>
      <c r="C284" s="1" t="s">
        <v>1102</v>
      </c>
      <c r="D284" s="1" t="s">
        <v>28</v>
      </c>
      <c r="E284" s="2">
        <v>30000.0</v>
      </c>
      <c r="F284" s="2">
        <v>30000.0</v>
      </c>
      <c r="G284" s="1" t="s">
        <v>29</v>
      </c>
      <c r="H284" s="1" t="s">
        <v>569</v>
      </c>
      <c r="I284" s="1" t="s">
        <v>1103</v>
      </c>
      <c r="J284" s="1" t="s">
        <v>31</v>
      </c>
      <c r="K284" s="1" t="s">
        <v>1104</v>
      </c>
      <c r="L284" s="1" t="s">
        <v>32</v>
      </c>
      <c r="M284" s="1" t="s">
        <v>33</v>
      </c>
      <c r="N284" s="1">
        <v>120000.0</v>
      </c>
      <c r="O284" s="1" t="s">
        <v>218</v>
      </c>
      <c r="P284" s="1" t="s">
        <v>35</v>
      </c>
      <c r="Q284" s="1" t="s">
        <v>36</v>
      </c>
      <c r="R284" s="1" t="s">
        <v>35</v>
      </c>
      <c r="S284" s="4" t="s">
        <v>37</v>
      </c>
      <c r="T284" s="1" t="s">
        <v>256</v>
      </c>
      <c r="U284" s="5">
        <f t="shared" si="156"/>
        <v>0</v>
      </c>
      <c r="V284" s="5">
        <f t="shared" si="157"/>
        <v>4</v>
      </c>
      <c r="W284" s="6">
        <f t="shared" si="158"/>
        <v>519900</v>
      </c>
      <c r="X284" s="6" t="str">
        <f t="shared" si="164"/>
        <v>R$500.000 - R$600.000</v>
      </c>
      <c r="Y284" s="6">
        <f t="shared" si="159"/>
        <v>519900</v>
      </c>
      <c r="Z284" s="3" t="str">
        <f t="shared" si="163"/>
        <v>R$500.000 - R$600.000</v>
      </c>
    </row>
    <row r="285">
      <c r="A285" s="1">
        <v>139977.0</v>
      </c>
      <c r="B285" s="1" t="s">
        <v>1105</v>
      </c>
      <c r="C285" s="1" t="s">
        <v>1106</v>
      </c>
      <c r="D285" s="1" t="s">
        <v>28</v>
      </c>
      <c r="E285" s="2">
        <v>31000.0</v>
      </c>
      <c r="F285" s="2">
        <f>E285</f>
        <v>31000</v>
      </c>
      <c r="G285" s="1" t="s">
        <v>29</v>
      </c>
      <c r="H285" s="1" t="s">
        <v>569</v>
      </c>
      <c r="I285" s="1" t="s">
        <v>1107</v>
      </c>
      <c r="J285" s="1" t="s">
        <v>60</v>
      </c>
      <c r="K285" s="3"/>
      <c r="L285" s="1" t="s">
        <v>51</v>
      </c>
      <c r="M285" s="1" t="s">
        <v>52</v>
      </c>
      <c r="N285" s="1">
        <v>100000.0</v>
      </c>
      <c r="O285" s="1" t="s">
        <v>34</v>
      </c>
      <c r="P285" s="1" t="s">
        <v>53</v>
      </c>
      <c r="Q285" s="1" t="s">
        <v>172</v>
      </c>
      <c r="R285" s="1" t="s">
        <v>35</v>
      </c>
      <c r="S285" s="4" t="s">
        <v>37</v>
      </c>
      <c r="T285" s="1" t="s">
        <v>696</v>
      </c>
      <c r="U285" s="5">
        <f t="shared" si="156"/>
        <v>0</v>
      </c>
      <c r="V285" s="5">
        <f t="shared" si="157"/>
        <v>3</v>
      </c>
      <c r="W285" s="6">
        <f t="shared" si="158"/>
        <v>513230</v>
      </c>
      <c r="X285" s="6" t="str">
        <f t="shared" si="164"/>
        <v>R$500.000 - R$600.000</v>
      </c>
      <c r="Y285" s="6">
        <f t="shared" si="159"/>
        <v>513230</v>
      </c>
      <c r="Z285" s="3" t="str">
        <f t="shared" si="163"/>
        <v>R$500.000 - R$600.000</v>
      </c>
    </row>
    <row r="286">
      <c r="A286" s="1">
        <v>108247.0</v>
      </c>
      <c r="B286" s="1" t="s">
        <v>1108</v>
      </c>
      <c r="C286" s="1" t="s">
        <v>1109</v>
      </c>
      <c r="D286" s="1" t="s">
        <v>28</v>
      </c>
      <c r="E286" s="2">
        <v>34586.0</v>
      </c>
      <c r="F286" s="2">
        <v>38000.0</v>
      </c>
      <c r="G286" s="1" t="s">
        <v>29</v>
      </c>
      <c r="H286" s="1" t="s">
        <v>569</v>
      </c>
      <c r="I286" s="1" t="s">
        <v>1110</v>
      </c>
      <c r="J286" s="1" t="s">
        <v>31</v>
      </c>
      <c r="K286" s="1" t="s">
        <v>68</v>
      </c>
      <c r="L286" s="1" t="s">
        <v>51</v>
      </c>
      <c r="M286" s="1" t="s">
        <v>33</v>
      </c>
      <c r="N286" s="1">
        <v>92206.0</v>
      </c>
      <c r="O286" s="1" t="s">
        <v>135</v>
      </c>
      <c r="P286" s="1" t="s">
        <v>53</v>
      </c>
      <c r="Q286" s="1" t="s">
        <v>36</v>
      </c>
      <c r="R286" s="1" t="s">
        <v>35</v>
      </c>
      <c r="S286" s="4" t="s">
        <v>37</v>
      </c>
      <c r="T286" s="1" t="s">
        <v>1111</v>
      </c>
      <c r="U286" s="5">
        <f t="shared" si="156"/>
        <v>0.09871046088</v>
      </c>
      <c r="V286" s="5">
        <f t="shared" si="157"/>
        <v>2</v>
      </c>
      <c r="W286" s="6">
        <f t="shared" si="158"/>
        <v>553237.38</v>
      </c>
      <c r="X286" s="6" t="str">
        <f t="shared" si="164"/>
        <v>R$500.000 - R$600.000</v>
      </c>
      <c r="Y286" s="6">
        <f t="shared" si="159"/>
        <v>607847.6968</v>
      </c>
      <c r="Z286" s="3" t="str">
        <f t="shared" si="163"/>
        <v>R$600.000 - R$700.000</v>
      </c>
    </row>
    <row r="287">
      <c r="A287" s="1">
        <v>207891.0</v>
      </c>
      <c r="B287" s="1" t="s">
        <v>1112</v>
      </c>
      <c r="C287" s="1" t="s">
        <v>1113</v>
      </c>
      <c r="D287" s="1" t="s">
        <v>28</v>
      </c>
      <c r="E287" s="2">
        <v>35000.0</v>
      </c>
      <c r="F287" s="2">
        <v>45000.0</v>
      </c>
      <c r="G287" s="1" t="s">
        <v>29</v>
      </c>
      <c r="H287" s="1" t="s">
        <v>569</v>
      </c>
      <c r="I287" s="1" t="s">
        <v>1114</v>
      </c>
      <c r="J287" s="1" t="s">
        <v>31</v>
      </c>
      <c r="K287" s="3"/>
      <c r="L287" s="1" t="s">
        <v>51</v>
      </c>
      <c r="M287" s="1" t="s">
        <v>33</v>
      </c>
      <c r="N287" s="1">
        <v>120000.0</v>
      </c>
      <c r="O287" s="1" t="s">
        <v>280</v>
      </c>
      <c r="P287" s="1" t="s">
        <v>53</v>
      </c>
      <c r="Q287" s="1" t="s">
        <v>54</v>
      </c>
      <c r="R287" s="1" t="s">
        <v>35</v>
      </c>
      <c r="S287" s="4" t="s">
        <v>37</v>
      </c>
      <c r="T287" s="1" t="s">
        <v>1115</v>
      </c>
      <c r="U287" s="5">
        <f t="shared" si="156"/>
        <v>0.2857142857</v>
      </c>
      <c r="V287" s="5">
        <f t="shared" si="157"/>
        <v>3</v>
      </c>
      <c r="W287" s="6">
        <f t="shared" si="158"/>
        <v>586550</v>
      </c>
      <c r="X287" s="6" t="str">
        <f t="shared" si="164"/>
        <v>R$500.000 - R$600.000</v>
      </c>
      <c r="Y287" s="6">
        <f t="shared" si="159"/>
        <v>754135.7143</v>
      </c>
      <c r="Z287" s="3" t="str">
        <f t="shared" si="163"/>
        <v>R$700.000 - R$800.000</v>
      </c>
    </row>
    <row r="288">
      <c r="A288" s="1">
        <v>142132.0</v>
      </c>
      <c r="B288" s="1" t="s">
        <v>1116</v>
      </c>
      <c r="C288" s="1" t="s">
        <v>1117</v>
      </c>
      <c r="D288" s="1" t="s">
        <v>28</v>
      </c>
      <c r="E288" s="2">
        <v>38000.0</v>
      </c>
      <c r="F288" s="2">
        <v>45000.0</v>
      </c>
      <c r="G288" s="1" t="s">
        <v>29</v>
      </c>
      <c r="H288" s="1" t="s">
        <v>569</v>
      </c>
      <c r="I288" s="1" t="s">
        <v>31</v>
      </c>
      <c r="J288" s="1" t="s">
        <v>31</v>
      </c>
      <c r="K288" s="1" t="s">
        <v>363</v>
      </c>
      <c r="L288" s="1" t="s">
        <v>51</v>
      </c>
      <c r="M288" s="1" t="s">
        <v>52</v>
      </c>
      <c r="N288" s="1">
        <v>80000.0</v>
      </c>
      <c r="O288" s="1" t="s">
        <v>280</v>
      </c>
      <c r="P288" s="1" t="s">
        <v>35</v>
      </c>
      <c r="Q288" s="1" t="s">
        <v>36</v>
      </c>
      <c r="R288" s="1" t="s">
        <v>35</v>
      </c>
      <c r="S288" s="4" t="s">
        <v>37</v>
      </c>
      <c r="T288" s="1" t="s">
        <v>1118</v>
      </c>
      <c r="U288" s="5">
        <f t="shared" si="156"/>
        <v>0.1842105263</v>
      </c>
      <c r="V288" s="5">
        <f t="shared" si="157"/>
        <v>2</v>
      </c>
      <c r="W288" s="6">
        <f t="shared" si="158"/>
        <v>586540</v>
      </c>
      <c r="X288" s="6" t="str">
        <f t="shared" si="164"/>
        <v>R$500.000 - R$600.000</v>
      </c>
      <c r="Y288" s="6">
        <f t="shared" si="159"/>
        <v>694586.8421</v>
      </c>
      <c r="Z288" s="3" t="str">
        <f t="shared" si="163"/>
        <v>R$600.000 - R$700.000</v>
      </c>
    </row>
    <row r="289">
      <c r="A289" s="1">
        <v>222300.0</v>
      </c>
      <c r="B289" s="1" t="s">
        <v>1119</v>
      </c>
      <c r="C289" s="1" t="s">
        <v>1120</v>
      </c>
      <c r="D289" s="1" t="s">
        <v>28</v>
      </c>
      <c r="E289" s="2">
        <v>39000.0</v>
      </c>
      <c r="F289" s="2">
        <v>46800.0</v>
      </c>
      <c r="G289" s="1" t="s">
        <v>29</v>
      </c>
      <c r="H289" s="1" t="s">
        <v>569</v>
      </c>
      <c r="I289" s="1" t="s">
        <v>99</v>
      </c>
      <c r="J289" s="1" t="s">
        <v>31</v>
      </c>
      <c r="K289" s="3"/>
      <c r="L289" s="1" t="s">
        <v>51</v>
      </c>
      <c r="M289" s="1" t="s">
        <v>33</v>
      </c>
      <c r="N289" s="1">
        <v>0.0</v>
      </c>
      <c r="O289" s="1" t="s">
        <v>135</v>
      </c>
      <c r="P289" s="1" t="s">
        <v>53</v>
      </c>
      <c r="Q289" s="1" t="s">
        <v>36</v>
      </c>
      <c r="R289" s="1" t="s">
        <v>35</v>
      </c>
      <c r="S289" s="4" t="s">
        <v>37</v>
      </c>
      <c r="T289" s="1" t="s">
        <v>1089</v>
      </c>
      <c r="U289" s="5">
        <f t="shared" si="156"/>
        <v>0.2</v>
      </c>
      <c r="V289" s="5">
        <f t="shared" si="157"/>
        <v>0</v>
      </c>
      <c r="W289" s="6">
        <f t="shared" si="158"/>
        <v>519870</v>
      </c>
      <c r="X289" s="6" t="str">
        <f t="shared" si="164"/>
        <v>R$500.000 - R$600.000</v>
      </c>
      <c r="Y289" s="6">
        <f t="shared" si="159"/>
        <v>623844</v>
      </c>
      <c r="Z289" s="3" t="str">
        <f t="shared" si="163"/>
        <v>R$600.000 - R$700.000</v>
      </c>
    </row>
    <row r="290">
      <c r="A290" s="1">
        <v>210723.0</v>
      </c>
      <c r="B290" s="1" t="s">
        <v>1121</v>
      </c>
      <c r="C290" s="1" t="s">
        <v>1122</v>
      </c>
      <c r="D290" s="1" t="s">
        <v>28</v>
      </c>
      <c r="E290" s="2">
        <v>30000.0</v>
      </c>
      <c r="F290" s="2">
        <v>37000.0</v>
      </c>
      <c r="G290" s="1" t="s">
        <v>29</v>
      </c>
      <c r="H290" s="1" t="s">
        <v>569</v>
      </c>
      <c r="I290" s="1" t="s">
        <v>1123</v>
      </c>
      <c r="J290" s="1" t="s">
        <v>77</v>
      </c>
      <c r="K290" s="1" t="s">
        <v>943</v>
      </c>
      <c r="L290" s="1" t="s">
        <v>51</v>
      </c>
      <c r="M290" s="1" t="s">
        <v>52</v>
      </c>
      <c r="N290" s="1">
        <v>210000.0</v>
      </c>
      <c r="O290" s="1" t="s">
        <v>78</v>
      </c>
      <c r="P290" s="1" t="s">
        <v>35</v>
      </c>
      <c r="Q290" s="1" t="s">
        <v>36</v>
      </c>
      <c r="R290" s="1" t="s">
        <v>35</v>
      </c>
      <c r="S290" s="4" t="s">
        <v>37</v>
      </c>
      <c r="T290" s="1" t="s">
        <v>880</v>
      </c>
      <c r="U290" s="5">
        <f t="shared" si="156"/>
        <v>0.2333333333</v>
      </c>
      <c r="V290" s="5">
        <f t="shared" si="157"/>
        <v>7</v>
      </c>
      <c r="W290" s="6">
        <f t="shared" si="158"/>
        <v>609900</v>
      </c>
      <c r="X290" s="6" t="str">
        <f t="shared" si="164"/>
        <v>R$600.000 - R$700.000</v>
      </c>
      <c r="Y290" s="6">
        <f t="shared" si="159"/>
        <v>752210</v>
      </c>
      <c r="Z290" s="3" t="str">
        <f t="shared" si="163"/>
        <v>R$700.000 - R$800.000</v>
      </c>
    </row>
    <row r="291">
      <c r="A291" s="1">
        <v>138416.0</v>
      </c>
      <c r="B291" s="1" t="s">
        <v>1124</v>
      </c>
      <c r="C291" s="1" t="s">
        <v>1125</v>
      </c>
      <c r="D291" s="1" t="s">
        <v>28</v>
      </c>
      <c r="E291" s="2">
        <v>35000.0</v>
      </c>
      <c r="F291" s="2">
        <v>42000.0</v>
      </c>
      <c r="G291" s="1" t="s">
        <v>29</v>
      </c>
      <c r="H291" s="1" t="s">
        <v>569</v>
      </c>
      <c r="I291" s="1" t="s">
        <v>1126</v>
      </c>
      <c r="J291" s="1" t="s">
        <v>77</v>
      </c>
      <c r="K291" s="1" t="s">
        <v>68</v>
      </c>
      <c r="L291" s="1" t="s">
        <v>51</v>
      </c>
      <c r="M291" s="1" t="s">
        <v>33</v>
      </c>
      <c r="N291" s="1">
        <v>210000.0</v>
      </c>
      <c r="O291" s="1" t="s">
        <v>44</v>
      </c>
      <c r="P291" s="1" t="s">
        <v>35</v>
      </c>
      <c r="Q291" s="1" t="s">
        <v>36</v>
      </c>
      <c r="R291" s="1" t="s">
        <v>35</v>
      </c>
      <c r="S291" s="4" t="s">
        <v>37</v>
      </c>
      <c r="T291" s="1" t="s">
        <v>1127</v>
      </c>
      <c r="U291" s="5">
        <f t="shared" si="156"/>
        <v>0.2</v>
      </c>
      <c r="V291" s="5">
        <f t="shared" si="157"/>
        <v>6</v>
      </c>
      <c r="W291" s="6">
        <f t="shared" si="158"/>
        <v>676550</v>
      </c>
      <c r="X291" s="6" t="str">
        <f t="shared" si="164"/>
        <v>R$600.000 - R$700.000</v>
      </c>
      <c r="Y291" s="6">
        <f t="shared" si="159"/>
        <v>811860</v>
      </c>
      <c r="Z291" s="3" t="str">
        <f t="shared" si="163"/>
        <v>R$800.000 - R$900.000</v>
      </c>
    </row>
    <row r="292">
      <c r="A292" s="1">
        <v>128409.0</v>
      </c>
      <c r="B292" s="1" t="s">
        <v>1128</v>
      </c>
      <c r="C292" s="1" t="s">
        <v>1129</v>
      </c>
      <c r="D292" s="1" t="s">
        <v>28</v>
      </c>
      <c r="E292" s="2">
        <v>40000.0</v>
      </c>
      <c r="F292" s="2">
        <f>E292*1.2</f>
        <v>48000</v>
      </c>
      <c r="G292" s="1" t="s">
        <v>29</v>
      </c>
      <c r="H292" s="1" t="s">
        <v>569</v>
      </c>
      <c r="I292" s="1" t="s">
        <v>1130</v>
      </c>
      <c r="J292" s="1" t="s">
        <v>31</v>
      </c>
      <c r="K292" s="3"/>
      <c r="L292" s="1" t="s">
        <v>32</v>
      </c>
      <c r="M292" s="1" t="s">
        <v>33</v>
      </c>
      <c r="N292" s="1">
        <v>160000.0</v>
      </c>
      <c r="O292" s="1" t="s">
        <v>44</v>
      </c>
      <c r="P292" s="1" t="s">
        <v>35</v>
      </c>
      <c r="Q292" s="1" t="s">
        <v>54</v>
      </c>
      <c r="R292" s="1" t="s">
        <v>53</v>
      </c>
      <c r="S292" s="4" t="s">
        <v>37</v>
      </c>
      <c r="T292" s="1" t="s">
        <v>396</v>
      </c>
      <c r="U292" s="5">
        <f t="shared" si="156"/>
        <v>0.2</v>
      </c>
      <c r="V292" s="5">
        <f t="shared" si="157"/>
        <v>4</v>
      </c>
      <c r="W292" s="6">
        <f t="shared" si="158"/>
        <v>693200</v>
      </c>
      <c r="X292" s="6" t="str">
        <f t="shared" si="164"/>
        <v>R$600.000 - R$700.000</v>
      </c>
      <c r="Y292" s="6">
        <f t="shared" si="159"/>
        <v>831840</v>
      </c>
      <c r="Z292" s="3" t="str">
        <f t="shared" si="163"/>
        <v>R$800.000 - R$900.000</v>
      </c>
    </row>
    <row r="293">
      <c r="A293" s="1">
        <v>130119.0</v>
      </c>
      <c r="B293" s="1" t="s">
        <v>1131</v>
      </c>
      <c r="C293" s="1" t="s">
        <v>1132</v>
      </c>
      <c r="D293" s="1" t="s">
        <v>28</v>
      </c>
      <c r="E293" s="2">
        <v>45000.0</v>
      </c>
      <c r="F293" s="2">
        <v>55000.0</v>
      </c>
      <c r="G293" s="1" t="s">
        <v>29</v>
      </c>
      <c r="H293" s="1" t="s">
        <v>569</v>
      </c>
      <c r="I293" s="1" t="s">
        <v>329</v>
      </c>
      <c r="J293" s="1" t="s">
        <v>77</v>
      </c>
      <c r="K293" s="1" t="s">
        <v>68</v>
      </c>
      <c r="L293" s="1" t="s">
        <v>51</v>
      </c>
      <c r="M293" s="1" t="s">
        <v>33</v>
      </c>
      <c r="N293" s="1">
        <v>90000.0</v>
      </c>
      <c r="O293" s="1" t="s">
        <v>44</v>
      </c>
      <c r="P293" s="1" t="s">
        <v>35</v>
      </c>
      <c r="Q293" s="1" t="s">
        <v>54</v>
      </c>
      <c r="R293" s="1" t="s">
        <v>35</v>
      </c>
      <c r="S293" s="4" t="s">
        <v>37</v>
      </c>
      <c r="T293" s="1" t="s">
        <v>480</v>
      </c>
      <c r="U293" s="5">
        <f t="shared" si="156"/>
        <v>0.2222222222</v>
      </c>
      <c r="V293" s="5">
        <f t="shared" si="157"/>
        <v>2</v>
      </c>
      <c r="W293" s="6">
        <f t="shared" si="158"/>
        <v>689850</v>
      </c>
      <c r="X293" s="6" t="str">
        <f t="shared" si="164"/>
        <v>R$600.000 - R$700.000</v>
      </c>
      <c r="Y293" s="6">
        <f t="shared" si="159"/>
        <v>843150</v>
      </c>
      <c r="Z293" s="3" t="str">
        <f t="shared" si="163"/>
        <v>R$800.000 - R$900.000</v>
      </c>
    </row>
    <row r="294">
      <c r="A294" s="1">
        <v>222004.0</v>
      </c>
      <c r="B294" s="1" t="s">
        <v>1133</v>
      </c>
      <c r="C294" s="1" t="s">
        <v>1134</v>
      </c>
      <c r="D294" s="1" t="s">
        <v>28</v>
      </c>
      <c r="E294" s="2">
        <v>23000.0</v>
      </c>
      <c r="F294" s="2">
        <v>23000.0</v>
      </c>
      <c r="G294" s="1" t="s">
        <v>75</v>
      </c>
      <c r="H294" s="1" t="s">
        <v>569</v>
      </c>
      <c r="I294" s="1" t="s">
        <v>1135</v>
      </c>
      <c r="J294" s="1" t="s">
        <v>77</v>
      </c>
      <c r="K294" s="3"/>
      <c r="L294" s="1" t="s">
        <v>51</v>
      </c>
      <c r="M294" s="1" t="s">
        <v>33</v>
      </c>
      <c r="N294" s="1">
        <v>440000.0</v>
      </c>
      <c r="O294" s="1" t="s">
        <v>78</v>
      </c>
      <c r="P294" s="1" t="s">
        <v>53</v>
      </c>
      <c r="Q294" s="1" t="s">
        <v>36</v>
      </c>
      <c r="R294" s="1" t="s">
        <v>35</v>
      </c>
      <c r="S294" s="4" t="s">
        <v>37</v>
      </c>
      <c r="T294" s="1" t="s">
        <v>847</v>
      </c>
      <c r="U294" s="5">
        <f t="shared" si="156"/>
        <v>0</v>
      </c>
      <c r="V294" s="5">
        <f t="shared" si="157"/>
        <v>19</v>
      </c>
      <c r="W294" s="6">
        <f t="shared" si="158"/>
        <v>746590</v>
      </c>
      <c r="X294" s="6" t="str">
        <f t="shared" si="164"/>
        <v>R$700.000 - R$800.000</v>
      </c>
      <c r="Y294" s="6">
        <f t="shared" si="159"/>
        <v>746590</v>
      </c>
      <c r="Z294" s="3" t="str">
        <f t="shared" si="163"/>
        <v>R$700.000 - R$800.000</v>
      </c>
    </row>
    <row r="295">
      <c r="A295" s="1">
        <v>114818.0</v>
      </c>
      <c r="B295" s="1" t="s">
        <v>1136</v>
      </c>
      <c r="C295" s="1" t="s">
        <v>1137</v>
      </c>
      <c r="D295" s="1" t="s">
        <v>28</v>
      </c>
      <c r="E295" s="2">
        <v>28000.0</v>
      </c>
      <c r="F295" s="2">
        <v>33600.0</v>
      </c>
      <c r="G295" s="1" t="s">
        <v>29</v>
      </c>
      <c r="H295" s="1" t="s">
        <v>569</v>
      </c>
      <c r="I295" s="1" t="s">
        <v>139</v>
      </c>
      <c r="J295" s="1" t="s">
        <v>31</v>
      </c>
      <c r="K295" s="3"/>
      <c r="L295" s="1" t="s">
        <v>51</v>
      </c>
      <c r="M295" s="1" t="s">
        <v>33</v>
      </c>
      <c r="N295" s="1">
        <v>350000.0</v>
      </c>
      <c r="O295" s="1" t="s">
        <v>62</v>
      </c>
      <c r="P295" s="1" t="s">
        <v>35</v>
      </c>
      <c r="Q295" s="1" t="s">
        <v>54</v>
      </c>
      <c r="R295" s="1" t="s">
        <v>35</v>
      </c>
      <c r="S295" s="4" t="s">
        <v>37</v>
      </c>
      <c r="T295" s="1" t="s">
        <v>570</v>
      </c>
      <c r="U295" s="5">
        <f t="shared" si="156"/>
        <v>0.2</v>
      </c>
      <c r="V295" s="5">
        <f t="shared" si="157"/>
        <v>12</v>
      </c>
      <c r="W295" s="6">
        <f t="shared" si="158"/>
        <v>723240</v>
      </c>
      <c r="X295" s="6" t="str">
        <f t="shared" si="164"/>
        <v>R$700.000 - R$800.000</v>
      </c>
      <c r="Y295" s="6">
        <f t="shared" si="159"/>
        <v>867888</v>
      </c>
      <c r="Z295" s="3" t="str">
        <f t="shared" si="163"/>
        <v>R$800.000 - R$900.000</v>
      </c>
    </row>
    <row r="296">
      <c r="A296" s="1">
        <v>205987.0</v>
      </c>
      <c r="B296" s="1" t="s">
        <v>1138</v>
      </c>
      <c r="C296" s="1" t="s">
        <v>1139</v>
      </c>
      <c r="D296" s="1" t="s">
        <v>132</v>
      </c>
      <c r="E296" s="2">
        <v>24000.0</v>
      </c>
      <c r="F296" s="2">
        <v>35000.0</v>
      </c>
      <c r="G296" s="1" t="s">
        <v>29</v>
      </c>
      <c r="H296" s="1" t="s">
        <v>569</v>
      </c>
      <c r="I296" s="1" t="s">
        <v>439</v>
      </c>
      <c r="J296" s="1" t="s">
        <v>60</v>
      </c>
      <c r="K296" s="3"/>
      <c r="L296" s="1" t="s">
        <v>51</v>
      </c>
      <c r="M296" s="1" t="s">
        <v>52</v>
      </c>
      <c r="N296" s="8"/>
      <c r="O296" s="1" t="s">
        <v>70</v>
      </c>
      <c r="P296" s="1" t="s">
        <v>53</v>
      </c>
      <c r="Q296" s="1" t="s">
        <v>36</v>
      </c>
      <c r="R296" s="1" t="s">
        <v>53</v>
      </c>
      <c r="S296" s="3"/>
      <c r="T296" s="1" t="s">
        <v>436</v>
      </c>
      <c r="U296" s="5">
        <f t="shared" si="156"/>
        <v>0.4583333333</v>
      </c>
      <c r="V296" s="5">
        <f t="shared" si="157"/>
        <v>0</v>
      </c>
      <c r="W296" s="6">
        <f t="shared" si="158"/>
        <v>319920</v>
      </c>
      <c r="X296" s="6"/>
      <c r="Y296" s="6">
        <f t="shared" si="159"/>
        <v>466550</v>
      </c>
      <c r="Z296" s="3" t="str">
        <f t="shared" si="163"/>
        <v>R$400.000 - R$500.000</v>
      </c>
    </row>
    <row r="297">
      <c r="A297" s="1">
        <v>140991.0</v>
      </c>
      <c r="B297" s="1" t="s">
        <v>1140</v>
      </c>
      <c r="C297" s="1" t="s">
        <v>1141</v>
      </c>
      <c r="D297" s="1" t="s">
        <v>28</v>
      </c>
      <c r="E297" s="2">
        <v>30000.0</v>
      </c>
      <c r="F297" s="2">
        <v>35000.0</v>
      </c>
      <c r="G297" s="1" t="s">
        <v>29</v>
      </c>
      <c r="H297" s="1" t="s">
        <v>569</v>
      </c>
      <c r="I297" s="1" t="s">
        <v>1142</v>
      </c>
      <c r="J297" s="1" t="s">
        <v>77</v>
      </c>
      <c r="K297" s="3"/>
      <c r="L297" s="1" t="s">
        <v>51</v>
      </c>
      <c r="M297" s="1" t="s">
        <v>33</v>
      </c>
      <c r="N297" s="1">
        <v>320000.0</v>
      </c>
      <c r="O297" s="1" t="s">
        <v>70</v>
      </c>
      <c r="P297" s="1" t="s">
        <v>53</v>
      </c>
      <c r="Q297" s="1" t="s">
        <v>54</v>
      </c>
      <c r="R297" s="1" t="s">
        <v>35</v>
      </c>
      <c r="S297" s="4" t="s">
        <v>37</v>
      </c>
      <c r="T297" s="1" t="s">
        <v>375</v>
      </c>
      <c r="U297" s="5">
        <f t="shared" si="156"/>
        <v>0.1666666667</v>
      </c>
      <c r="V297" s="5">
        <f t="shared" si="157"/>
        <v>10</v>
      </c>
      <c r="W297" s="6">
        <f t="shared" si="158"/>
        <v>719900</v>
      </c>
      <c r="X297" s="6" t="str">
        <f t="shared" ref="X297:X316" si="165">IF(W297&lt;100000,"abaixo de R$100.000",IF(AND(W297&gt;=100000,W297&lt;200000),"R$100.000 - R$200.000",IF(AND(W297&gt;=200000,W297&lt;300000),"R$200.000 - R$300.000",IF(AND(W297&gt;=300000,W297&lt;400000),"R$300.000 - R$400.000",IF(AND(W297&gt;=400000,W297&lt;500000),"R$400.000 - R$500.000",IF(AND(W297&gt;=500000,W297&lt;600000),"R$500.000 - R$600.000",IF(AND(W297&gt;=600000,W297&lt;700000),"R$600.000 - R$700.000",IF(AND(W297&gt;=700000,W297&lt;800000),"R$700.000 - R$800.000",IF(AND(W297&gt;=800000,W297&lt;900000),"R$800.000 - R$900.000","Superior a R$900.000")))))))))</f>
        <v>R$700.000 - R$800.000</v>
      </c>
      <c r="Y297" s="6">
        <f t="shared" si="159"/>
        <v>839883.3333</v>
      </c>
      <c r="Z297" s="3" t="str">
        <f t="shared" si="163"/>
        <v>R$800.000 - R$900.000</v>
      </c>
    </row>
    <row r="298">
      <c r="A298" s="1">
        <v>222305.0</v>
      </c>
      <c r="B298" s="1" t="s">
        <v>1143</v>
      </c>
      <c r="C298" s="1" t="s">
        <v>1144</v>
      </c>
      <c r="D298" s="1" t="s">
        <v>28</v>
      </c>
      <c r="E298" s="2">
        <v>40000.0</v>
      </c>
      <c r="F298" s="2">
        <v>40000.0</v>
      </c>
      <c r="G298" s="1" t="s">
        <v>29</v>
      </c>
      <c r="H298" s="1" t="s">
        <v>569</v>
      </c>
      <c r="I298" s="1" t="s">
        <v>374</v>
      </c>
      <c r="J298" s="1" t="s">
        <v>31</v>
      </c>
      <c r="K298" s="3"/>
      <c r="L298" s="1" t="s">
        <v>32</v>
      </c>
      <c r="M298" s="1" t="s">
        <v>33</v>
      </c>
      <c r="N298" s="1">
        <v>180000.0</v>
      </c>
      <c r="O298" s="1" t="s">
        <v>34</v>
      </c>
      <c r="P298" s="1" t="s">
        <v>35</v>
      </c>
      <c r="Q298" s="1" t="s">
        <v>36</v>
      </c>
      <c r="R298" s="1" t="s">
        <v>35</v>
      </c>
      <c r="S298" s="4" t="s">
        <v>37</v>
      </c>
      <c r="T298" s="1" t="s">
        <v>787</v>
      </c>
      <c r="U298" s="5">
        <f t="shared" si="156"/>
        <v>0</v>
      </c>
      <c r="V298" s="5">
        <f t="shared" si="157"/>
        <v>4</v>
      </c>
      <c r="W298" s="6">
        <f t="shared" si="158"/>
        <v>713200</v>
      </c>
      <c r="X298" s="6" t="str">
        <f t="shared" si="165"/>
        <v>R$700.000 - R$800.000</v>
      </c>
      <c r="Y298" s="6">
        <f t="shared" si="159"/>
        <v>713200</v>
      </c>
      <c r="Z298" s="3" t="str">
        <f t="shared" si="163"/>
        <v>R$700.000 - R$800.000</v>
      </c>
    </row>
    <row r="299">
      <c r="A299" s="1">
        <v>107801.0</v>
      </c>
      <c r="B299" s="1" t="s">
        <v>1145</v>
      </c>
      <c r="C299" s="1" t="s">
        <v>1146</v>
      </c>
      <c r="D299" s="1" t="s">
        <v>28</v>
      </c>
      <c r="E299" s="2">
        <v>42000.0</v>
      </c>
      <c r="F299" s="2">
        <v>42000.0</v>
      </c>
      <c r="G299" s="1" t="s">
        <v>29</v>
      </c>
      <c r="H299" s="1" t="s">
        <v>569</v>
      </c>
      <c r="I299" s="1" t="s">
        <v>1147</v>
      </c>
      <c r="J299" s="1" t="s">
        <v>50</v>
      </c>
      <c r="K299" s="1" t="s">
        <v>976</v>
      </c>
      <c r="L299" s="1" t="s">
        <v>51</v>
      </c>
      <c r="M299" s="1" t="s">
        <v>33</v>
      </c>
      <c r="N299" s="1">
        <v>240000.0</v>
      </c>
      <c r="O299" s="1" t="s">
        <v>199</v>
      </c>
      <c r="P299" s="1" t="s">
        <v>53</v>
      </c>
      <c r="Q299" s="1" t="s">
        <v>36</v>
      </c>
      <c r="R299" s="1" t="s">
        <v>35</v>
      </c>
      <c r="S299" s="4" t="s">
        <v>37</v>
      </c>
      <c r="T299" s="1" t="s">
        <v>801</v>
      </c>
      <c r="U299" s="5">
        <f t="shared" si="156"/>
        <v>0</v>
      </c>
      <c r="V299" s="5">
        <f t="shared" si="157"/>
        <v>5</v>
      </c>
      <c r="W299" s="6">
        <f t="shared" si="158"/>
        <v>799860</v>
      </c>
      <c r="X299" s="6" t="str">
        <f t="shared" si="165"/>
        <v>R$700.000 - R$800.000</v>
      </c>
      <c r="Y299" s="6">
        <f t="shared" si="159"/>
        <v>799860</v>
      </c>
      <c r="Z299" s="3" t="str">
        <f t="shared" si="163"/>
        <v>R$700.000 - R$800.000</v>
      </c>
    </row>
    <row r="300">
      <c r="A300" s="1">
        <v>214830.0</v>
      </c>
      <c r="B300" s="1" t="s">
        <v>1148</v>
      </c>
      <c r="C300" s="1" t="s">
        <v>1149</v>
      </c>
      <c r="D300" s="1" t="s">
        <v>28</v>
      </c>
      <c r="E300" s="2">
        <v>45000.0</v>
      </c>
      <c r="F300" s="2">
        <f>E300*1.15</f>
        <v>51750</v>
      </c>
      <c r="G300" s="1" t="s">
        <v>29</v>
      </c>
      <c r="H300" s="1" t="s">
        <v>569</v>
      </c>
      <c r="I300" s="1" t="s">
        <v>1150</v>
      </c>
      <c r="J300" s="1" t="s">
        <v>77</v>
      </c>
      <c r="K300" s="3"/>
      <c r="L300" s="1" t="s">
        <v>51</v>
      </c>
      <c r="M300" s="1" t="s">
        <v>52</v>
      </c>
      <c r="N300" s="1">
        <v>157500.0</v>
      </c>
      <c r="O300" s="1" t="s">
        <v>199</v>
      </c>
      <c r="P300" s="1" t="s">
        <v>53</v>
      </c>
      <c r="Q300" s="1" t="s">
        <v>54</v>
      </c>
      <c r="R300" s="1" t="s">
        <v>35</v>
      </c>
      <c r="S300" s="4" t="s">
        <v>37</v>
      </c>
      <c r="T300" s="1" t="s">
        <v>1151</v>
      </c>
      <c r="U300" s="5">
        <f t="shared" si="156"/>
        <v>0.15</v>
      </c>
      <c r="V300" s="5">
        <f t="shared" si="157"/>
        <v>3</v>
      </c>
      <c r="W300" s="6">
        <f t="shared" si="158"/>
        <v>757350</v>
      </c>
      <c r="X300" s="6" t="str">
        <f t="shared" si="165"/>
        <v>R$700.000 - R$800.000</v>
      </c>
      <c r="Y300" s="6">
        <f t="shared" si="159"/>
        <v>870952.5</v>
      </c>
      <c r="Z300" s="3" t="str">
        <f t="shared" si="163"/>
        <v>R$800.000 - R$900.000</v>
      </c>
    </row>
    <row r="301">
      <c r="A301" s="1">
        <v>111362.0</v>
      </c>
      <c r="B301" s="1" t="s">
        <v>1152</v>
      </c>
      <c r="C301" s="1" t="s">
        <v>1153</v>
      </c>
      <c r="D301" s="1" t="s">
        <v>28</v>
      </c>
      <c r="E301" s="2">
        <v>45000.0</v>
      </c>
      <c r="F301" s="2">
        <v>50000.0</v>
      </c>
      <c r="G301" s="1" t="s">
        <v>29</v>
      </c>
      <c r="H301" s="1" t="s">
        <v>569</v>
      </c>
      <c r="I301" s="1" t="s">
        <v>31</v>
      </c>
      <c r="J301" s="1" t="s">
        <v>31</v>
      </c>
      <c r="K301" s="3"/>
      <c r="L301" s="1" t="s">
        <v>51</v>
      </c>
      <c r="M301" s="1" t="s">
        <v>52</v>
      </c>
      <c r="N301" s="1">
        <v>150000.0</v>
      </c>
      <c r="O301" s="1" t="s">
        <v>70</v>
      </c>
      <c r="P301" s="1" t="s">
        <v>35</v>
      </c>
      <c r="Q301" s="1" t="s">
        <v>54</v>
      </c>
      <c r="R301" s="1" t="s">
        <v>35</v>
      </c>
      <c r="S301" s="4" t="s">
        <v>37</v>
      </c>
      <c r="T301" s="1" t="s">
        <v>827</v>
      </c>
      <c r="U301" s="5">
        <f t="shared" si="156"/>
        <v>0.1111111111</v>
      </c>
      <c r="V301" s="5">
        <f t="shared" si="157"/>
        <v>3</v>
      </c>
      <c r="W301" s="6">
        <f t="shared" si="158"/>
        <v>749850</v>
      </c>
      <c r="X301" s="6" t="str">
        <f t="shared" si="165"/>
        <v>R$700.000 - R$800.000</v>
      </c>
      <c r="Y301" s="6">
        <f t="shared" si="159"/>
        <v>833166.6667</v>
      </c>
      <c r="Z301" s="3" t="str">
        <f t="shared" si="163"/>
        <v>R$800.000 - R$900.000</v>
      </c>
    </row>
    <row r="302">
      <c r="A302" s="1">
        <v>216441.0</v>
      </c>
      <c r="B302" s="1" t="s">
        <v>1154</v>
      </c>
      <c r="C302" s="1" t="s">
        <v>1155</v>
      </c>
      <c r="D302" s="1" t="s">
        <v>28</v>
      </c>
      <c r="E302" s="2">
        <v>45000.0</v>
      </c>
      <c r="F302" s="2">
        <v>55000.0</v>
      </c>
      <c r="G302" s="1" t="s">
        <v>29</v>
      </c>
      <c r="H302" s="1" t="s">
        <v>569</v>
      </c>
      <c r="I302" s="1" t="s">
        <v>31</v>
      </c>
      <c r="J302" s="1" t="s">
        <v>31</v>
      </c>
      <c r="K302" s="3"/>
      <c r="L302" s="1" t="s">
        <v>32</v>
      </c>
      <c r="M302" s="1" t="s">
        <v>33</v>
      </c>
      <c r="N302" s="1">
        <v>200000.0</v>
      </c>
      <c r="O302" s="1" t="s">
        <v>135</v>
      </c>
      <c r="P302" s="1" t="s">
        <v>35</v>
      </c>
      <c r="Q302" s="1" t="s">
        <v>54</v>
      </c>
      <c r="R302" s="1" t="s">
        <v>35</v>
      </c>
      <c r="S302" s="4" t="s">
        <v>37</v>
      </c>
      <c r="T302" s="1" t="s">
        <v>1156</v>
      </c>
      <c r="U302" s="5">
        <f t="shared" si="156"/>
        <v>0.2222222222</v>
      </c>
      <c r="V302" s="5">
        <f t="shared" si="157"/>
        <v>4</v>
      </c>
      <c r="W302" s="6">
        <f t="shared" si="158"/>
        <v>799850</v>
      </c>
      <c r="X302" s="6" t="str">
        <f t="shared" si="165"/>
        <v>R$700.000 - R$800.000</v>
      </c>
      <c r="Y302" s="6">
        <f t="shared" si="159"/>
        <v>977594.4444</v>
      </c>
      <c r="Z302" s="3" t="str">
        <f t="shared" si="163"/>
        <v>Superior a R$900.000</v>
      </c>
    </row>
    <row r="303">
      <c r="A303" s="1">
        <v>102428.0</v>
      </c>
      <c r="B303" s="1" t="s">
        <v>1157</v>
      </c>
      <c r="C303" s="1" t="s">
        <v>1158</v>
      </c>
      <c r="D303" s="1" t="s">
        <v>28</v>
      </c>
      <c r="E303" s="2">
        <v>45000.0</v>
      </c>
      <c r="F303" s="2">
        <v>60000.0</v>
      </c>
      <c r="G303" s="1" t="s">
        <v>75</v>
      </c>
      <c r="H303" s="1" t="s">
        <v>569</v>
      </c>
      <c r="I303" s="1" t="s">
        <v>1159</v>
      </c>
      <c r="J303" s="1" t="s">
        <v>50</v>
      </c>
      <c r="K303" s="3"/>
      <c r="L303" s="1" t="s">
        <v>51</v>
      </c>
      <c r="M303" s="1" t="s">
        <v>33</v>
      </c>
      <c r="N303" s="1">
        <v>150000.0</v>
      </c>
      <c r="O303" s="1" t="s">
        <v>34</v>
      </c>
      <c r="P303" s="1" t="s">
        <v>53</v>
      </c>
      <c r="Q303" s="1" t="s">
        <v>36</v>
      </c>
      <c r="R303" s="1" t="s">
        <v>35</v>
      </c>
      <c r="S303" s="4" t="s">
        <v>37</v>
      </c>
      <c r="T303" s="1" t="s">
        <v>1160</v>
      </c>
      <c r="U303" s="5">
        <f t="shared" si="156"/>
        <v>0.3333333333</v>
      </c>
      <c r="V303" s="5">
        <f t="shared" si="157"/>
        <v>3</v>
      </c>
      <c r="W303" s="6">
        <f t="shared" si="158"/>
        <v>749850</v>
      </c>
      <c r="X303" s="6" t="str">
        <f t="shared" si="165"/>
        <v>R$700.000 - R$800.000</v>
      </c>
      <c r="Y303" s="6">
        <f t="shared" si="159"/>
        <v>999800</v>
      </c>
      <c r="Z303" s="3" t="str">
        <f t="shared" si="163"/>
        <v>Superior a R$900.000</v>
      </c>
    </row>
    <row r="304">
      <c r="A304" s="1">
        <v>143104.0</v>
      </c>
      <c r="B304" s="1" t="s">
        <v>1161</v>
      </c>
      <c r="C304" s="1" t="s">
        <v>1162</v>
      </c>
      <c r="D304" s="1" t="s">
        <v>28</v>
      </c>
      <c r="E304" s="2">
        <v>50000.0</v>
      </c>
      <c r="F304" s="2">
        <v>50000.0</v>
      </c>
      <c r="G304" s="1" t="s">
        <v>29</v>
      </c>
      <c r="H304" s="1" t="s">
        <v>569</v>
      </c>
      <c r="I304" s="1" t="s">
        <v>31</v>
      </c>
      <c r="J304" s="1" t="s">
        <v>31</v>
      </c>
      <c r="K304" s="3"/>
      <c r="L304" s="1" t="s">
        <v>32</v>
      </c>
      <c r="M304" s="1" t="s">
        <v>52</v>
      </c>
      <c r="N304" s="1">
        <v>50000.0</v>
      </c>
      <c r="O304" s="1" t="s">
        <v>70</v>
      </c>
      <c r="P304" s="1" t="s">
        <v>53</v>
      </c>
      <c r="Q304" s="1" t="s">
        <v>54</v>
      </c>
      <c r="R304" s="1" t="s">
        <v>35</v>
      </c>
      <c r="S304" s="4" t="s">
        <v>37</v>
      </c>
      <c r="T304" s="1" t="s">
        <v>570</v>
      </c>
      <c r="U304" s="5">
        <f t="shared" si="156"/>
        <v>0</v>
      </c>
      <c r="V304" s="5">
        <f t="shared" si="157"/>
        <v>1</v>
      </c>
      <c r="W304" s="6">
        <f t="shared" si="158"/>
        <v>716500</v>
      </c>
      <c r="X304" s="6" t="str">
        <f t="shared" si="165"/>
        <v>R$700.000 - R$800.000</v>
      </c>
      <c r="Y304" s="6">
        <f t="shared" si="159"/>
        <v>716500</v>
      </c>
      <c r="Z304" s="3" t="str">
        <f t="shared" si="163"/>
        <v>R$700.000 - R$800.000</v>
      </c>
    </row>
    <row r="305">
      <c r="A305" s="1">
        <v>119294.0</v>
      </c>
      <c r="B305" s="1" t="s">
        <v>1163</v>
      </c>
      <c r="C305" s="1" t="s">
        <v>197</v>
      </c>
      <c r="D305" s="1" t="s">
        <v>28</v>
      </c>
      <c r="E305" s="2">
        <v>54000.0</v>
      </c>
      <c r="F305" s="2">
        <v>55000.0</v>
      </c>
      <c r="G305" s="1" t="s">
        <v>29</v>
      </c>
      <c r="H305" s="1" t="s">
        <v>569</v>
      </c>
      <c r="I305" s="1" t="s">
        <v>374</v>
      </c>
      <c r="J305" s="1" t="s">
        <v>31</v>
      </c>
      <c r="K305" s="1" t="s">
        <v>305</v>
      </c>
      <c r="L305" s="1" t="s">
        <v>51</v>
      </c>
      <c r="M305" s="1" t="s">
        <v>33</v>
      </c>
      <c r="N305" s="1">
        <v>0.0</v>
      </c>
      <c r="O305" s="1" t="s">
        <v>199</v>
      </c>
      <c r="P305" s="1" t="s">
        <v>35</v>
      </c>
      <c r="Q305" s="1" t="s">
        <v>172</v>
      </c>
      <c r="R305" s="1" t="s">
        <v>35</v>
      </c>
      <c r="S305" s="4" t="s">
        <v>37</v>
      </c>
      <c r="T305" s="1" t="s">
        <v>1164</v>
      </c>
      <c r="U305" s="5">
        <f t="shared" si="156"/>
        <v>0.01851851852</v>
      </c>
      <c r="V305" s="5">
        <f t="shared" si="157"/>
        <v>0</v>
      </c>
      <c r="W305" s="6">
        <f t="shared" si="158"/>
        <v>719820</v>
      </c>
      <c r="X305" s="6" t="str">
        <f t="shared" si="165"/>
        <v>R$700.000 - R$800.000</v>
      </c>
      <c r="Y305" s="6">
        <f t="shared" si="159"/>
        <v>733150</v>
      </c>
      <c r="Z305" s="3" t="str">
        <f t="shared" si="163"/>
        <v>R$700.000 - R$800.000</v>
      </c>
    </row>
    <row r="306">
      <c r="A306" s="1">
        <v>208673.0</v>
      </c>
      <c r="B306" s="1" t="s">
        <v>1165</v>
      </c>
      <c r="C306" s="1" t="s">
        <v>1166</v>
      </c>
      <c r="D306" s="1" t="s">
        <v>28</v>
      </c>
      <c r="E306" s="2">
        <v>50000.0</v>
      </c>
      <c r="F306" s="2">
        <v>50000.0</v>
      </c>
      <c r="G306" s="1" t="s">
        <v>29</v>
      </c>
      <c r="H306" s="1" t="s">
        <v>569</v>
      </c>
      <c r="I306" s="1" t="s">
        <v>1110</v>
      </c>
      <c r="J306" s="1" t="s">
        <v>31</v>
      </c>
      <c r="K306" s="3"/>
      <c r="L306" s="1" t="s">
        <v>51</v>
      </c>
      <c r="M306" s="1" t="s">
        <v>52</v>
      </c>
      <c r="N306" s="1">
        <v>150000.0</v>
      </c>
      <c r="O306" s="1" t="s">
        <v>44</v>
      </c>
      <c r="P306" s="1" t="s">
        <v>53</v>
      </c>
      <c r="Q306" s="1" t="s">
        <v>36</v>
      </c>
      <c r="R306" s="1" t="s">
        <v>35</v>
      </c>
      <c r="S306" s="4" t="s">
        <v>37</v>
      </c>
      <c r="T306" s="1" t="s">
        <v>191</v>
      </c>
      <c r="U306" s="5">
        <f t="shared" si="156"/>
        <v>0</v>
      </c>
      <c r="V306" s="5">
        <f t="shared" si="157"/>
        <v>3</v>
      </c>
      <c r="W306" s="6">
        <f t="shared" si="158"/>
        <v>816500</v>
      </c>
      <c r="X306" s="6" t="str">
        <f t="shared" si="165"/>
        <v>R$800.000 - R$900.000</v>
      </c>
      <c r="Y306" s="6">
        <f t="shared" si="159"/>
        <v>816500</v>
      </c>
      <c r="Z306" s="3" t="str">
        <f t="shared" si="163"/>
        <v>R$800.000 - R$900.000</v>
      </c>
    </row>
    <row r="307">
      <c r="A307" s="1">
        <v>103963.0</v>
      </c>
      <c r="B307" s="1" t="s">
        <v>1167</v>
      </c>
      <c r="C307" s="1" t="s">
        <v>1168</v>
      </c>
      <c r="D307" s="1" t="s">
        <v>28</v>
      </c>
      <c r="E307" s="2">
        <v>52000.0</v>
      </c>
      <c r="F307" s="2">
        <f>E307*1.12</f>
        <v>58240</v>
      </c>
      <c r="G307" s="1" t="s">
        <v>29</v>
      </c>
      <c r="H307" s="1" t="s">
        <v>569</v>
      </c>
      <c r="I307" s="1" t="s">
        <v>862</v>
      </c>
      <c r="J307" s="1" t="s">
        <v>31</v>
      </c>
      <c r="K307" s="1" t="s">
        <v>68</v>
      </c>
      <c r="L307" s="1" t="s">
        <v>32</v>
      </c>
      <c r="M307" s="1" t="s">
        <v>52</v>
      </c>
      <c r="N307" s="1">
        <v>150000.0</v>
      </c>
      <c r="O307" s="1" t="s">
        <v>178</v>
      </c>
      <c r="P307" s="1" t="s">
        <v>53</v>
      </c>
      <c r="Q307" s="1" t="s">
        <v>36</v>
      </c>
      <c r="R307" s="1" t="s">
        <v>35</v>
      </c>
      <c r="S307" s="4" t="s">
        <v>37</v>
      </c>
      <c r="T307" s="1" t="s">
        <v>396</v>
      </c>
      <c r="U307" s="5">
        <f t="shared" si="156"/>
        <v>0.12</v>
      </c>
      <c r="V307" s="5">
        <f t="shared" si="157"/>
        <v>2</v>
      </c>
      <c r="W307" s="6">
        <f t="shared" si="158"/>
        <v>843160</v>
      </c>
      <c r="X307" s="6" t="str">
        <f t="shared" si="165"/>
        <v>R$800.000 - R$900.000</v>
      </c>
      <c r="Y307" s="6">
        <f t="shared" si="159"/>
        <v>944339.2</v>
      </c>
      <c r="Z307" s="3" t="str">
        <f t="shared" si="163"/>
        <v>Superior a R$900.000</v>
      </c>
    </row>
    <row r="308">
      <c r="A308" s="1">
        <v>128712.0</v>
      </c>
      <c r="B308" s="1" t="s">
        <v>1169</v>
      </c>
      <c r="C308" s="1" t="s">
        <v>1170</v>
      </c>
      <c r="D308" s="1" t="s">
        <v>28</v>
      </c>
      <c r="E308" s="2">
        <v>37500.0</v>
      </c>
      <c r="F308" s="2">
        <v>45000.0</v>
      </c>
      <c r="G308" s="1" t="s">
        <v>29</v>
      </c>
      <c r="H308" s="1" t="s">
        <v>569</v>
      </c>
      <c r="I308" s="1" t="s">
        <v>1171</v>
      </c>
      <c r="J308" s="1" t="s">
        <v>77</v>
      </c>
      <c r="K308" s="3"/>
      <c r="L308" s="1" t="s">
        <v>51</v>
      </c>
      <c r="M308" s="1" t="s">
        <v>52</v>
      </c>
      <c r="N308" s="1">
        <v>800000.0</v>
      </c>
      <c r="O308" s="1" t="s">
        <v>449</v>
      </c>
      <c r="P308" s="1" t="s">
        <v>35</v>
      </c>
      <c r="Q308" s="1" t="s">
        <v>36</v>
      </c>
      <c r="R308" s="1" t="s">
        <v>35</v>
      </c>
      <c r="S308" s="4" t="s">
        <v>37</v>
      </c>
      <c r="T308" s="1" t="s">
        <v>1172</v>
      </c>
      <c r="U308" s="5">
        <f t="shared" si="156"/>
        <v>0.2</v>
      </c>
      <c r="V308" s="5">
        <f t="shared" si="157"/>
        <v>21</v>
      </c>
      <c r="W308" s="6">
        <f t="shared" si="158"/>
        <v>1299875</v>
      </c>
      <c r="X308" s="6" t="str">
        <f t="shared" si="165"/>
        <v>Superior a R$900.000</v>
      </c>
      <c r="Y308" s="6">
        <f t="shared" si="159"/>
        <v>1559850</v>
      </c>
      <c r="Z308" s="3" t="str">
        <f t="shared" si="163"/>
        <v>Superior a R$900.000</v>
      </c>
    </row>
    <row r="309">
      <c r="A309" s="1">
        <v>104593.0</v>
      </c>
      <c r="B309" s="1" t="s">
        <v>1173</v>
      </c>
      <c r="C309" s="1" t="s">
        <v>1174</v>
      </c>
      <c r="D309" s="1" t="s">
        <v>28</v>
      </c>
      <c r="E309" s="2">
        <v>45000.0</v>
      </c>
      <c r="F309" s="2">
        <v>54000.0</v>
      </c>
      <c r="G309" s="1" t="s">
        <v>29</v>
      </c>
      <c r="H309" s="1" t="s">
        <v>569</v>
      </c>
      <c r="I309" s="1" t="s">
        <v>1175</v>
      </c>
      <c r="J309" s="1" t="s">
        <v>50</v>
      </c>
      <c r="K309" s="3"/>
      <c r="L309" s="1" t="s">
        <v>61</v>
      </c>
      <c r="M309" s="1" t="s">
        <v>52</v>
      </c>
      <c r="N309" s="1">
        <v>450000.0</v>
      </c>
      <c r="O309" s="1" t="s">
        <v>449</v>
      </c>
      <c r="P309" s="1" t="s">
        <v>35</v>
      </c>
      <c r="Q309" s="1" t="s">
        <v>36</v>
      </c>
      <c r="R309" s="1" t="s">
        <v>35</v>
      </c>
      <c r="S309" s="4" t="s">
        <v>37</v>
      </c>
      <c r="T309" s="1" t="s">
        <v>1118</v>
      </c>
      <c r="U309" s="5">
        <f t="shared" si="156"/>
        <v>0.2</v>
      </c>
      <c r="V309" s="5">
        <f t="shared" si="157"/>
        <v>10</v>
      </c>
      <c r="W309" s="6">
        <f t="shared" si="158"/>
        <v>1049850</v>
      </c>
      <c r="X309" s="6" t="str">
        <f t="shared" si="165"/>
        <v>Superior a R$900.000</v>
      </c>
      <c r="Y309" s="6">
        <f t="shared" si="159"/>
        <v>1259820</v>
      </c>
      <c r="Z309" s="3" t="str">
        <f t="shared" si="163"/>
        <v>Superior a R$900.000</v>
      </c>
    </row>
    <row r="310">
      <c r="A310" s="1">
        <v>218196.0</v>
      </c>
      <c r="B310" s="1" t="s">
        <v>1176</v>
      </c>
      <c r="C310" s="11" t="s">
        <v>1177</v>
      </c>
      <c r="D310" s="1" t="s">
        <v>28</v>
      </c>
      <c r="E310" s="2">
        <v>50000.0</v>
      </c>
      <c r="F310" s="2">
        <v>50000.0</v>
      </c>
      <c r="G310" s="1" t="s">
        <v>29</v>
      </c>
      <c r="H310" s="1" t="s">
        <v>569</v>
      </c>
      <c r="I310" s="1" t="s">
        <v>1178</v>
      </c>
      <c r="J310" s="1" t="s">
        <v>60</v>
      </c>
      <c r="K310" s="3"/>
      <c r="L310" s="1" t="s">
        <v>51</v>
      </c>
      <c r="M310" s="1" t="s">
        <v>52</v>
      </c>
      <c r="N310" s="1">
        <v>300000.0</v>
      </c>
      <c r="O310" s="1" t="s">
        <v>135</v>
      </c>
      <c r="P310" s="1" t="s">
        <v>53</v>
      </c>
      <c r="Q310" s="1" t="s">
        <v>36</v>
      </c>
      <c r="R310" s="1" t="s">
        <v>35</v>
      </c>
      <c r="S310" s="4" t="s">
        <v>381</v>
      </c>
      <c r="T310" s="1" t="s">
        <v>1179</v>
      </c>
      <c r="U310" s="5">
        <f t="shared" si="156"/>
        <v>0</v>
      </c>
      <c r="V310" s="5">
        <f t="shared" si="157"/>
        <v>6</v>
      </c>
      <c r="W310" s="6">
        <f t="shared" si="158"/>
        <v>966500</v>
      </c>
      <c r="X310" s="6" t="str">
        <f t="shared" si="165"/>
        <v>Superior a R$900.000</v>
      </c>
      <c r="Y310" s="6">
        <f t="shared" si="159"/>
        <v>966500</v>
      </c>
      <c r="Z310" s="3" t="str">
        <f t="shared" si="163"/>
        <v>Superior a R$900.000</v>
      </c>
    </row>
    <row r="311">
      <c r="A311" s="1">
        <v>129169.0</v>
      </c>
      <c r="B311" s="1" t="s">
        <v>1180</v>
      </c>
      <c r="C311" s="1" t="s">
        <v>1181</v>
      </c>
      <c r="D311" s="1" t="s">
        <v>28</v>
      </c>
      <c r="E311" s="2">
        <v>54000.0</v>
      </c>
      <c r="F311" s="2">
        <v>60000.0</v>
      </c>
      <c r="G311" s="1" t="s">
        <v>29</v>
      </c>
      <c r="H311" s="1" t="s">
        <v>569</v>
      </c>
      <c r="I311" s="1" t="s">
        <v>1182</v>
      </c>
      <c r="J311" s="1" t="s">
        <v>31</v>
      </c>
      <c r="K311" s="1" t="s">
        <v>363</v>
      </c>
      <c r="L311" s="1" t="s">
        <v>51</v>
      </c>
      <c r="M311" s="1" t="s">
        <v>33</v>
      </c>
      <c r="N311" s="1">
        <v>250000.0</v>
      </c>
      <c r="O311" s="1" t="s">
        <v>178</v>
      </c>
      <c r="P311" s="1" t="s">
        <v>35</v>
      </c>
      <c r="Q311" s="1" t="s">
        <v>54</v>
      </c>
      <c r="R311" s="1" t="s">
        <v>35</v>
      </c>
      <c r="S311" s="4" t="s">
        <v>381</v>
      </c>
      <c r="T311" s="1" t="s">
        <v>375</v>
      </c>
      <c r="U311" s="5">
        <f t="shared" si="156"/>
        <v>0.1111111111</v>
      </c>
      <c r="V311" s="5">
        <f t="shared" si="157"/>
        <v>4</v>
      </c>
      <c r="W311" s="6">
        <f t="shared" si="158"/>
        <v>969820</v>
      </c>
      <c r="X311" s="6" t="str">
        <f t="shared" si="165"/>
        <v>Superior a R$900.000</v>
      </c>
      <c r="Y311" s="6">
        <f t="shared" si="159"/>
        <v>1077577.778</v>
      </c>
      <c r="Z311" s="3" t="str">
        <f t="shared" si="163"/>
        <v>Superior a R$900.000</v>
      </c>
    </row>
    <row r="312">
      <c r="A312" s="1">
        <v>103482.0</v>
      </c>
      <c r="B312" s="1" t="s">
        <v>1183</v>
      </c>
      <c r="C312" s="1" t="s">
        <v>1184</v>
      </c>
      <c r="D312" s="1" t="s">
        <v>28</v>
      </c>
      <c r="E312" s="2">
        <v>55000.0</v>
      </c>
      <c r="F312" s="2">
        <v>55000.0</v>
      </c>
      <c r="G312" s="1" t="s">
        <v>29</v>
      </c>
      <c r="H312" s="1" t="s">
        <v>569</v>
      </c>
      <c r="I312" s="1" t="s">
        <v>144</v>
      </c>
      <c r="J312" s="1" t="s">
        <v>50</v>
      </c>
      <c r="K312" s="3"/>
      <c r="L312" s="1" t="s">
        <v>61</v>
      </c>
      <c r="M312" s="1" t="s">
        <v>33</v>
      </c>
      <c r="N312" s="1">
        <v>480000.0</v>
      </c>
      <c r="O312" s="1" t="s">
        <v>199</v>
      </c>
      <c r="P312" s="1" t="s">
        <v>53</v>
      </c>
      <c r="Q312" s="1" t="s">
        <v>36</v>
      </c>
      <c r="R312" s="1" t="s">
        <v>35</v>
      </c>
      <c r="S312" s="4" t="s">
        <v>381</v>
      </c>
      <c r="T312" s="1" t="s">
        <v>367</v>
      </c>
      <c r="U312" s="5">
        <f t="shared" si="156"/>
        <v>0</v>
      </c>
      <c r="V312" s="5">
        <f t="shared" si="157"/>
        <v>8</v>
      </c>
      <c r="W312" s="6">
        <f t="shared" si="158"/>
        <v>1213150</v>
      </c>
      <c r="X312" s="6" t="str">
        <f t="shared" si="165"/>
        <v>Superior a R$900.000</v>
      </c>
      <c r="Y312" s="6">
        <f t="shared" si="159"/>
        <v>1213150</v>
      </c>
      <c r="Z312" s="3" t="str">
        <f t="shared" si="163"/>
        <v>Superior a R$900.000</v>
      </c>
    </row>
    <row r="313">
      <c r="A313" s="1">
        <v>103794.0</v>
      </c>
      <c r="B313" s="1" t="s">
        <v>1185</v>
      </c>
      <c r="C313" s="1" t="s">
        <v>1186</v>
      </c>
      <c r="D313" s="1" t="s">
        <v>28</v>
      </c>
      <c r="E313" s="2">
        <v>55000.0</v>
      </c>
      <c r="F313" s="2">
        <v>80000.0</v>
      </c>
      <c r="G313" s="1" t="s">
        <v>29</v>
      </c>
      <c r="H313" s="1" t="s">
        <v>569</v>
      </c>
      <c r="I313" s="1" t="s">
        <v>1187</v>
      </c>
      <c r="J313" s="1" t="s">
        <v>31</v>
      </c>
      <c r="K313" s="1" t="s">
        <v>68</v>
      </c>
      <c r="L313" s="1" t="s">
        <v>51</v>
      </c>
      <c r="M313" s="1" t="s">
        <v>52</v>
      </c>
      <c r="N313" s="1">
        <v>300000.0</v>
      </c>
      <c r="O313" s="1" t="s">
        <v>449</v>
      </c>
      <c r="P313" s="1" t="s">
        <v>35</v>
      </c>
      <c r="Q313" s="1" t="s">
        <v>36</v>
      </c>
      <c r="R313" s="1" t="s">
        <v>35</v>
      </c>
      <c r="S313" s="4" t="s">
        <v>381</v>
      </c>
      <c r="T313" s="1" t="s">
        <v>315</v>
      </c>
      <c r="U313" s="5">
        <f t="shared" si="156"/>
        <v>0.4545454545</v>
      </c>
      <c r="V313" s="5">
        <f t="shared" si="157"/>
        <v>5</v>
      </c>
      <c r="W313" s="6">
        <f t="shared" si="158"/>
        <v>1033150</v>
      </c>
      <c r="X313" s="6" t="str">
        <f t="shared" si="165"/>
        <v>Superior a R$900.000</v>
      </c>
      <c r="Y313" s="6">
        <f t="shared" si="159"/>
        <v>1502763.636</v>
      </c>
      <c r="Z313" s="3" t="str">
        <f t="shared" si="163"/>
        <v>Superior a R$900.000</v>
      </c>
    </row>
    <row r="314">
      <c r="A314" s="1">
        <v>108114.0</v>
      </c>
      <c r="B314" s="1" t="s">
        <v>1188</v>
      </c>
      <c r="C314" s="1" t="s">
        <v>1189</v>
      </c>
      <c r="D314" s="1" t="s">
        <v>28</v>
      </c>
      <c r="E314" s="2">
        <v>60000.0</v>
      </c>
      <c r="F314" s="2">
        <f>E314*1.2</f>
        <v>72000</v>
      </c>
      <c r="G314" s="1" t="s">
        <v>29</v>
      </c>
      <c r="H314" s="1" t="s">
        <v>569</v>
      </c>
      <c r="I314" s="1" t="s">
        <v>1190</v>
      </c>
      <c r="J314" s="1" t="s">
        <v>77</v>
      </c>
      <c r="K314" s="3"/>
      <c r="L314" s="1" t="s">
        <v>51</v>
      </c>
      <c r="M314" s="1" t="s">
        <v>52</v>
      </c>
      <c r="N314" s="1">
        <v>200000.0</v>
      </c>
      <c r="O314" s="1" t="s">
        <v>70</v>
      </c>
      <c r="P314" s="1" t="s">
        <v>35</v>
      </c>
      <c r="Q314" s="1" t="s">
        <v>36</v>
      </c>
      <c r="R314" s="1" t="s">
        <v>35</v>
      </c>
      <c r="S314" s="4" t="s">
        <v>381</v>
      </c>
      <c r="T314" s="1" t="s">
        <v>223</v>
      </c>
      <c r="U314" s="5">
        <f t="shared" si="156"/>
        <v>0.2</v>
      </c>
      <c r="V314" s="5">
        <f t="shared" si="157"/>
        <v>3</v>
      </c>
      <c r="W314" s="6">
        <f t="shared" si="158"/>
        <v>999800</v>
      </c>
      <c r="X314" s="6" t="str">
        <f t="shared" si="165"/>
        <v>Superior a R$900.000</v>
      </c>
      <c r="Y314" s="6">
        <f t="shared" si="159"/>
        <v>1199760</v>
      </c>
      <c r="Z314" s="3" t="str">
        <f t="shared" si="163"/>
        <v>Superior a R$900.000</v>
      </c>
    </row>
    <row r="315">
      <c r="A315" s="1">
        <v>110762.0</v>
      </c>
      <c r="B315" s="1" t="s">
        <v>1191</v>
      </c>
      <c r="C315" s="1" t="s">
        <v>1192</v>
      </c>
      <c r="D315" s="1" t="s">
        <v>28</v>
      </c>
      <c r="E315" s="2">
        <v>60000.0</v>
      </c>
      <c r="F315" s="2">
        <v>65000.0</v>
      </c>
      <c r="G315" s="1" t="s">
        <v>29</v>
      </c>
      <c r="H315" s="1" t="s">
        <v>569</v>
      </c>
      <c r="I315" s="1" t="s">
        <v>1193</v>
      </c>
      <c r="J315" s="1" t="s">
        <v>50</v>
      </c>
      <c r="K315" s="1" t="s">
        <v>68</v>
      </c>
      <c r="L315" s="1" t="s">
        <v>43</v>
      </c>
      <c r="M315" s="1" t="s">
        <v>52</v>
      </c>
      <c r="N315" s="1">
        <v>240000.0</v>
      </c>
      <c r="O315" s="1" t="s">
        <v>204</v>
      </c>
      <c r="P315" s="1" t="s">
        <v>35</v>
      </c>
      <c r="Q315" s="1" t="s">
        <v>54</v>
      </c>
      <c r="R315" s="1" t="s">
        <v>35</v>
      </c>
      <c r="S315" s="4" t="s">
        <v>381</v>
      </c>
      <c r="T315" s="1" t="s">
        <v>252</v>
      </c>
      <c r="U315" s="5">
        <f t="shared" si="156"/>
        <v>0.08333333333</v>
      </c>
      <c r="V315" s="5">
        <f t="shared" si="157"/>
        <v>4</v>
      </c>
      <c r="W315" s="6">
        <f t="shared" si="158"/>
        <v>1039800</v>
      </c>
      <c r="X315" s="6" t="str">
        <f t="shared" si="165"/>
        <v>Superior a R$900.000</v>
      </c>
      <c r="Y315" s="6">
        <f t="shared" si="159"/>
        <v>1126450</v>
      </c>
      <c r="Z315" s="3" t="str">
        <f t="shared" si="163"/>
        <v>Superior a R$900.000</v>
      </c>
    </row>
    <row r="316">
      <c r="A316" s="1">
        <v>104943.0</v>
      </c>
      <c r="B316" s="1" t="s">
        <v>1194</v>
      </c>
      <c r="C316" s="1" t="s">
        <v>1195</v>
      </c>
      <c r="D316" s="1" t="s">
        <v>28</v>
      </c>
      <c r="E316" s="2">
        <v>94000.0</v>
      </c>
      <c r="F316" s="2">
        <v>94000.0</v>
      </c>
      <c r="G316" s="1" t="s">
        <v>29</v>
      </c>
      <c r="H316" s="1" t="s">
        <v>569</v>
      </c>
      <c r="I316" s="1" t="s">
        <v>1196</v>
      </c>
      <c r="J316" s="1" t="s">
        <v>31</v>
      </c>
      <c r="K316" s="3"/>
      <c r="L316" s="1" t="s">
        <v>51</v>
      </c>
      <c r="M316" s="1" t="s">
        <v>52</v>
      </c>
      <c r="N316" s="1">
        <v>330000.0</v>
      </c>
      <c r="O316" s="1" t="s">
        <v>199</v>
      </c>
      <c r="P316" s="1" t="s">
        <v>35</v>
      </c>
      <c r="Q316" s="1" t="s">
        <v>172</v>
      </c>
      <c r="R316" s="1" t="s">
        <v>35</v>
      </c>
      <c r="S316" s="4" t="s">
        <v>381</v>
      </c>
      <c r="T316" s="1" t="s">
        <v>1197</v>
      </c>
      <c r="U316" s="5">
        <f t="shared" si="156"/>
        <v>0</v>
      </c>
      <c r="V316" s="5">
        <f t="shared" si="157"/>
        <v>3</v>
      </c>
      <c r="W316" s="6">
        <f t="shared" si="158"/>
        <v>1583020</v>
      </c>
      <c r="X316" s="6" t="str">
        <f t="shared" si="165"/>
        <v>Superior a R$900.000</v>
      </c>
      <c r="Y316" s="6">
        <f t="shared" si="159"/>
        <v>1583020</v>
      </c>
      <c r="Z316" s="3" t="str">
        <f t="shared" si="163"/>
        <v>Superior a R$900.000</v>
      </c>
    </row>
    <row r="317">
      <c r="A317" s="1">
        <v>139886.0</v>
      </c>
      <c r="B317" s="1" t="s">
        <v>1198</v>
      </c>
      <c r="C317" s="1" t="s">
        <v>1199</v>
      </c>
      <c r="D317" s="1" t="s">
        <v>28</v>
      </c>
      <c r="E317" s="1">
        <v>0.0</v>
      </c>
      <c r="F317" s="1">
        <v>0.0</v>
      </c>
      <c r="G317" s="1" t="s">
        <v>75</v>
      </c>
      <c r="H317" s="1" t="s">
        <v>569</v>
      </c>
      <c r="I317" s="1" t="s">
        <v>1200</v>
      </c>
      <c r="J317" s="1" t="s">
        <v>77</v>
      </c>
      <c r="K317" s="3"/>
      <c r="L317" s="1" t="s">
        <v>51</v>
      </c>
      <c r="M317" s="1" t="s">
        <v>52</v>
      </c>
      <c r="N317" s="6"/>
      <c r="O317" s="1" t="s">
        <v>62</v>
      </c>
      <c r="P317" s="1" t="s">
        <v>35</v>
      </c>
      <c r="Q317" s="1" t="s">
        <v>36</v>
      </c>
      <c r="R317" s="1" t="s">
        <v>35</v>
      </c>
      <c r="S317" s="4" t="s">
        <v>37</v>
      </c>
      <c r="T317" s="1" t="s">
        <v>1201</v>
      </c>
      <c r="U317" s="5"/>
      <c r="V317" s="5"/>
      <c r="W317" s="6"/>
      <c r="X317" s="6"/>
      <c r="Y317" s="6"/>
      <c r="Z317" s="3"/>
    </row>
    <row r="318">
      <c r="A318" s="1">
        <v>222806.0</v>
      </c>
      <c r="B318" s="1" t="s">
        <v>1202</v>
      </c>
      <c r="C318" s="1" t="s">
        <v>1203</v>
      </c>
      <c r="D318" s="1" t="s">
        <v>28</v>
      </c>
      <c r="E318" s="1">
        <v>0.0</v>
      </c>
      <c r="F318" s="1">
        <v>0.0</v>
      </c>
      <c r="G318" s="1" t="s">
        <v>29</v>
      </c>
      <c r="H318" s="1" t="s">
        <v>569</v>
      </c>
      <c r="I318" s="1" t="s">
        <v>31</v>
      </c>
      <c r="J318" s="1" t="s">
        <v>31</v>
      </c>
      <c r="K318" s="3"/>
      <c r="L318" s="1" t="s">
        <v>51</v>
      </c>
      <c r="M318" s="1" t="s">
        <v>52</v>
      </c>
      <c r="N318" s="8"/>
      <c r="O318" s="1" t="s">
        <v>44</v>
      </c>
      <c r="P318" s="1" t="s">
        <v>35</v>
      </c>
      <c r="Q318" s="1" t="s">
        <v>54</v>
      </c>
      <c r="R318" s="1" t="s">
        <v>35</v>
      </c>
      <c r="S318" s="4" t="s">
        <v>37</v>
      </c>
      <c r="T318" s="1" t="s">
        <v>105</v>
      </c>
      <c r="U318" s="5"/>
      <c r="V318" s="5"/>
      <c r="W318" s="6"/>
      <c r="X318" s="6"/>
      <c r="Y318" s="6"/>
      <c r="Z318" s="3"/>
    </row>
    <row r="319">
      <c r="A319" s="1">
        <v>222798.0</v>
      </c>
      <c r="B319" s="1" t="s">
        <v>1204</v>
      </c>
      <c r="C319" s="1" t="s">
        <v>1205</v>
      </c>
      <c r="D319" s="1" t="s">
        <v>28</v>
      </c>
      <c r="E319" s="1">
        <v>0.0</v>
      </c>
      <c r="F319" s="1">
        <v>0.0</v>
      </c>
      <c r="G319" s="1" t="s">
        <v>75</v>
      </c>
      <c r="H319" s="1" t="s">
        <v>569</v>
      </c>
      <c r="I319" s="1" t="s">
        <v>1206</v>
      </c>
      <c r="J319" s="1" t="s">
        <v>77</v>
      </c>
      <c r="K319" s="3"/>
      <c r="L319" s="1" t="s">
        <v>51</v>
      </c>
      <c r="M319" s="1" t="s">
        <v>52</v>
      </c>
      <c r="N319" s="8"/>
      <c r="O319" s="1" t="s">
        <v>171</v>
      </c>
      <c r="P319" s="1" t="s">
        <v>53</v>
      </c>
      <c r="Q319" s="1" t="s">
        <v>36</v>
      </c>
      <c r="R319" s="1" t="s">
        <v>35</v>
      </c>
      <c r="S319" s="4" t="s">
        <v>37</v>
      </c>
      <c r="T319" s="1" t="s">
        <v>1207</v>
      </c>
      <c r="U319" s="5"/>
      <c r="V319" s="5"/>
      <c r="W319" s="6"/>
      <c r="X319" s="6"/>
      <c r="Y319" s="6"/>
      <c r="Z319" s="3"/>
    </row>
    <row r="320">
      <c r="A320" s="1">
        <v>153150.0</v>
      </c>
      <c r="B320" s="1" t="s">
        <v>1208</v>
      </c>
      <c r="C320" s="1" t="s">
        <v>1209</v>
      </c>
      <c r="D320" s="1" t="s">
        <v>28</v>
      </c>
      <c r="E320" s="1">
        <v>0.0</v>
      </c>
      <c r="F320" s="1">
        <v>0.0</v>
      </c>
      <c r="G320" s="1" t="s">
        <v>29</v>
      </c>
      <c r="H320" s="1" t="s">
        <v>569</v>
      </c>
      <c r="I320" s="1" t="s">
        <v>1210</v>
      </c>
      <c r="J320" s="1" t="s">
        <v>77</v>
      </c>
      <c r="K320" s="3"/>
      <c r="L320" s="1" t="s">
        <v>32</v>
      </c>
      <c r="M320" s="1" t="s">
        <v>52</v>
      </c>
      <c r="N320" s="8"/>
      <c r="O320" s="1" t="s">
        <v>135</v>
      </c>
      <c r="P320" s="1" t="s">
        <v>53</v>
      </c>
      <c r="Q320" s="1" t="s">
        <v>36</v>
      </c>
      <c r="R320" s="1" t="s">
        <v>35</v>
      </c>
      <c r="S320" s="4" t="s">
        <v>37</v>
      </c>
      <c r="T320" s="1" t="s">
        <v>1211</v>
      </c>
      <c r="U320" s="5"/>
      <c r="V320" s="5"/>
      <c r="W320" s="6"/>
      <c r="X320" s="6"/>
      <c r="Y320" s="6"/>
      <c r="Z320" s="3"/>
    </row>
    <row r="321">
      <c r="A321" s="1">
        <v>222731.0</v>
      </c>
      <c r="B321" s="1" t="s">
        <v>1212</v>
      </c>
      <c r="C321" s="1" t="s">
        <v>1213</v>
      </c>
      <c r="D321" s="1" t="s">
        <v>28</v>
      </c>
      <c r="E321" s="1">
        <v>0.0</v>
      </c>
      <c r="F321" s="1">
        <v>0.0</v>
      </c>
      <c r="G321" s="1" t="s">
        <v>29</v>
      </c>
      <c r="H321" s="1" t="s">
        <v>569</v>
      </c>
      <c r="I321" s="1" t="s">
        <v>329</v>
      </c>
      <c r="J321" s="1" t="s">
        <v>77</v>
      </c>
      <c r="K321" s="3"/>
      <c r="L321" s="1" t="s">
        <v>32</v>
      </c>
      <c r="M321" s="1" t="s">
        <v>52</v>
      </c>
      <c r="N321" s="8"/>
      <c r="O321" s="1" t="s">
        <v>70</v>
      </c>
      <c r="P321" s="1" t="s">
        <v>53</v>
      </c>
      <c r="Q321" s="1" t="s">
        <v>54</v>
      </c>
      <c r="R321" s="1" t="s">
        <v>35</v>
      </c>
      <c r="S321" s="4" t="s">
        <v>37</v>
      </c>
      <c r="T321" s="1" t="s">
        <v>436</v>
      </c>
      <c r="U321" s="5"/>
      <c r="V321" s="5"/>
      <c r="W321" s="6"/>
      <c r="X321" s="6"/>
      <c r="Y321" s="6"/>
      <c r="Z321" s="3"/>
    </row>
    <row r="322">
      <c r="A322" s="1">
        <v>222712.0</v>
      </c>
      <c r="B322" s="1" t="s">
        <v>1214</v>
      </c>
      <c r="C322" s="1" t="s">
        <v>1215</v>
      </c>
      <c r="D322" s="1" t="s">
        <v>28</v>
      </c>
      <c r="E322" s="1">
        <v>0.0</v>
      </c>
      <c r="F322" s="1">
        <v>0.0</v>
      </c>
      <c r="G322" s="1" t="s">
        <v>29</v>
      </c>
      <c r="H322" s="1" t="s">
        <v>569</v>
      </c>
      <c r="I322" s="1" t="s">
        <v>31</v>
      </c>
      <c r="J322" s="1" t="s">
        <v>31</v>
      </c>
      <c r="K322" s="3"/>
      <c r="L322" s="1" t="s">
        <v>32</v>
      </c>
      <c r="M322" s="1" t="s">
        <v>33</v>
      </c>
      <c r="N322" s="6"/>
      <c r="O322" s="1" t="s">
        <v>78</v>
      </c>
      <c r="P322" s="1" t="s">
        <v>53</v>
      </c>
      <c r="Q322" s="1" t="s">
        <v>36</v>
      </c>
      <c r="R322" s="1" t="s">
        <v>35</v>
      </c>
      <c r="S322" s="4" t="s">
        <v>37</v>
      </c>
      <c r="T322" s="1" t="s">
        <v>1216</v>
      </c>
      <c r="U322" s="5"/>
      <c r="V322" s="5"/>
      <c r="W322" s="6"/>
      <c r="X322" s="6"/>
      <c r="Y322" s="6"/>
      <c r="Z322" s="3"/>
    </row>
    <row r="323">
      <c r="A323" s="1">
        <v>216496.0</v>
      </c>
      <c r="B323" s="1" t="s">
        <v>1217</v>
      </c>
      <c r="C323" s="1" t="s">
        <v>1218</v>
      </c>
      <c r="D323" s="1" t="s">
        <v>28</v>
      </c>
      <c r="E323" s="1">
        <v>0.0</v>
      </c>
      <c r="F323" s="1">
        <v>0.0</v>
      </c>
      <c r="G323" s="1" t="s">
        <v>29</v>
      </c>
      <c r="H323" s="1" t="s">
        <v>569</v>
      </c>
      <c r="I323" s="1" t="s">
        <v>766</v>
      </c>
      <c r="J323" s="1" t="s">
        <v>77</v>
      </c>
      <c r="K323" s="3"/>
      <c r="L323" s="1" t="s">
        <v>51</v>
      </c>
      <c r="M323" s="1" t="s">
        <v>33</v>
      </c>
      <c r="N323" s="6"/>
      <c r="O323" s="1" t="s">
        <v>62</v>
      </c>
      <c r="P323" s="1" t="s">
        <v>53</v>
      </c>
      <c r="Q323" s="1" t="s">
        <v>36</v>
      </c>
      <c r="R323" s="1" t="s">
        <v>35</v>
      </c>
      <c r="S323" s="4" t="s">
        <v>63</v>
      </c>
      <c r="T323" s="1" t="s">
        <v>696</v>
      </c>
      <c r="U323" s="5"/>
      <c r="V323" s="5"/>
      <c r="W323" s="6"/>
      <c r="X323" s="6"/>
      <c r="Y323" s="6"/>
      <c r="Z323" s="3"/>
    </row>
    <row r="324">
      <c r="A324" s="1">
        <v>222650.0</v>
      </c>
      <c r="B324" s="1" t="s">
        <v>1219</v>
      </c>
      <c r="C324" s="1" t="s">
        <v>1220</v>
      </c>
      <c r="D324" s="1" t="s">
        <v>28</v>
      </c>
      <c r="E324" s="1">
        <v>0.0</v>
      </c>
      <c r="F324" s="1">
        <v>0.0</v>
      </c>
      <c r="G324" s="1" t="s">
        <v>29</v>
      </c>
      <c r="H324" s="1" t="s">
        <v>569</v>
      </c>
      <c r="I324" s="1" t="s">
        <v>411</v>
      </c>
      <c r="J324" s="1" t="s">
        <v>60</v>
      </c>
      <c r="K324" s="3"/>
      <c r="L324" s="1" t="s">
        <v>51</v>
      </c>
      <c r="M324" s="1" t="s">
        <v>52</v>
      </c>
      <c r="N324" s="6"/>
      <c r="O324" s="1" t="s">
        <v>62</v>
      </c>
      <c r="P324" s="1" t="s">
        <v>53</v>
      </c>
      <c r="Q324" s="1" t="s">
        <v>54</v>
      </c>
      <c r="R324" s="1" t="s">
        <v>35</v>
      </c>
      <c r="S324" s="4" t="s">
        <v>63</v>
      </c>
      <c r="T324" s="1" t="s">
        <v>1221</v>
      </c>
      <c r="U324" s="5"/>
      <c r="V324" s="5"/>
      <c r="W324" s="6"/>
      <c r="X324" s="6"/>
      <c r="Y324" s="6"/>
      <c r="Z324" s="3"/>
    </row>
    <row r="325">
      <c r="A325" s="1">
        <v>143936.0</v>
      </c>
      <c r="B325" s="1" t="s">
        <v>1222</v>
      </c>
      <c r="C325" s="1" t="s">
        <v>1223</v>
      </c>
      <c r="D325" s="1" t="s">
        <v>28</v>
      </c>
      <c r="E325" s="1">
        <v>0.0</v>
      </c>
      <c r="F325" s="1">
        <v>0.0</v>
      </c>
      <c r="G325" s="1" t="s">
        <v>75</v>
      </c>
      <c r="H325" s="1" t="s">
        <v>569</v>
      </c>
      <c r="I325" s="1" t="s">
        <v>212</v>
      </c>
      <c r="J325" s="1" t="s">
        <v>60</v>
      </c>
      <c r="K325" s="1" t="s">
        <v>363</v>
      </c>
      <c r="L325" s="1" t="s">
        <v>51</v>
      </c>
      <c r="M325" s="1" t="s">
        <v>52</v>
      </c>
      <c r="N325" s="6"/>
      <c r="O325" s="1" t="s">
        <v>62</v>
      </c>
      <c r="P325" s="1" t="s">
        <v>35</v>
      </c>
      <c r="Q325" s="1" t="s">
        <v>36</v>
      </c>
      <c r="R325" s="1" t="s">
        <v>35</v>
      </c>
      <c r="S325" s="4" t="s">
        <v>63</v>
      </c>
      <c r="T325" s="1" t="s">
        <v>1224</v>
      </c>
      <c r="U325" s="5"/>
      <c r="V325" s="5"/>
      <c r="W325" s="6"/>
      <c r="X325" s="6"/>
      <c r="Y325" s="6"/>
      <c r="Z325" s="3"/>
    </row>
    <row r="326">
      <c r="A326" s="1">
        <v>222587.0</v>
      </c>
      <c r="B326" s="1" t="s">
        <v>1225</v>
      </c>
      <c r="C326" s="1" t="s">
        <v>1226</v>
      </c>
      <c r="D326" s="1" t="s">
        <v>28</v>
      </c>
      <c r="E326" s="1">
        <v>0.0</v>
      </c>
      <c r="F326" s="1">
        <v>0.0</v>
      </c>
      <c r="G326" s="1" t="s">
        <v>75</v>
      </c>
      <c r="H326" s="1" t="s">
        <v>569</v>
      </c>
      <c r="I326" s="1" t="s">
        <v>1227</v>
      </c>
      <c r="J326" s="1" t="s">
        <v>77</v>
      </c>
      <c r="K326" s="3"/>
      <c r="L326" s="1" t="s">
        <v>51</v>
      </c>
      <c r="M326" s="1" t="s">
        <v>52</v>
      </c>
      <c r="N326" s="6"/>
      <c r="O326" s="1" t="s">
        <v>34</v>
      </c>
      <c r="P326" s="1" t="s">
        <v>53</v>
      </c>
      <c r="Q326" s="1" t="s">
        <v>54</v>
      </c>
      <c r="R326" s="1" t="s">
        <v>35</v>
      </c>
      <c r="S326" s="4" t="s">
        <v>63</v>
      </c>
      <c r="T326" s="1" t="s">
        <v>1228</v>
      </c>
      <c r="U326" s="5"/>
      <c r="V326" s="5"/>
      <c r="W326" s="6"/>
      <c r="X326" s="6"/>
      <c r="Y326" s="6"/>
      <c r="Z326" s="3"/>
    </row>
    <row r="327">
      <c r="A327" s="1">
        <v>222534.0</v>
      </c>
      <c r="B327" s="1" t="s">
        <v>1229</v>
      </c>
      <c r="C327" s="1" t="s">
        <v>1230</v>
      </c>
      <c r="D327" s="1" t="s">
        <v>28</v>
      </c>
      <c r="E327" s="1">
        <v>0.0</v>
      </c>
      <c r="F327" s="1">
        <v>0.0</v>
      </c>
      <c r="G327" s="1" t="s">
        <v>29</v>
      </c>
      <c r="H327" s="1" t="s">
        <v>569</v>
      </c>
      <c r="I327" s="1" t="s">
        <v>134</v>
      </c>
      <c r="J327" s="1" t="s">
        <v>31</v>
      </c>
      <c r="K327" s="3"/>
      <c r="L327" s="1" t="s">
        <v>32</v>
      </c>
      <c r="M327" s="1" t="s">
        <v>69</v>
      </c>
      <c r="N327" s="3"/>
      <c r="O327" s="1" t="s">
        <v>44</v>
      </c>
      <c r="P327" s="1" t="s">
        <v>53</v>
      </c>
      <c r="Q327" s="1" t="s">
        <v>36</v>
      </c>
      <c r="R327" s="1" t="s">
        <v>35</v>
      </c>
      <c r="S327" s="4" t="s">
        <v>63</v>
      </c>
      <c r="T327" s="1" t="s">
        <v>408</v>
      </c>
      <c r="U327" s="5"/>
      <c r="V327" s="5"/>
      <c r="W327" s="6"/>
      <c r="X327" s="6"/>
      <c r="Y327" s="6"/>
      <c r="Z327" s="3"/>
    </row>
    <row r="328">
      <c r="A328" s="1">
        <v>210894.0</v>
      </c>
      <c r="B328" s="1" t="s">
        <v>1231</v>
      </c>
      <c r="C328" s="1" t="s">
        <v>1232</v>
      </c>
      <c r="D328" s="1" t="s">
        <v>28</v>
      </c>
      <c r="E328" s="1">
        <v>0.0</v>
      </c>
      <c r="F328" s="1">
        <v>0.0</v>
      </c>
      <c r="G328" s="1" t="s">
        <v>29</v>
      </c>
      <c r="H328" s="1" t="s">
        <v>569</v>
      </c>
      <c r="I328" s="1" t="s">
        <v>1233</v>
      </c>
      <c r="J328" s="1" t="s">
        <v>60</v>
      </c>
      <c r="K328" s="3"/>
      <c r="L328" s="1" t="s">
        <v>32</v>
      </c>
      <c r="M328" s="1" t="s">
        <v>33</v>
      </c>
      <c r="N328" s="3"/>
      <c r="O328" s="1" t="s">
        <v>178</v>
      </c>
      <c r="P328" s="1" t="s">
        <v>53</v>
      </c>
      <c r="Q328" s="1" t="s">
        <v>36</v>
      </c>
      <c r="R328" s="1" t="s">
        <v>35</v>
      </c>
      <c r="S328" s="4" t="s">
        <v>63</v>
      </c>
      <c r="T328" s="1" t="s">
        <v>1234</v>
      </c>
      <c r="U328" s="5"/>
      <c r="V328" s="5"/>
      <c r="W328" s="6"/>
      <c r="X328" s="6"/>
      <c r="Y328" s="6"/>
      <c r="Z328" s="3"/>
    </row>
    <row r="329">
      <c r="A329" s="1">
        <v>202817.0</v>
      </c>
      <c r="B329" s="1" t="s">
        <v>1235</v>
      </c>
      <c r="C329" s="1" t="s">
        <v>1236</v>
      </c>
      <c r="D329" s="1" t="s">
        <v>28</v>
      </c>
      <c r="E329" s="1">
        <v>0.0</v>
      </c>
      <c r="F329" s="1">
        <v>0.0</v>
      </c>
      <c r="G329" s="1" t="s">
        <v>29</v>
      </c>
      <c r="H329" s="1" t="s">
        <v>569</v>
      </c>
      <c r="I329" s="1" t="s">
        <v>1237</v>
      </c>
      <c r="J329" s="1" t="s">
        <v>77</v>
      </c>
      <c r="K329" s="3"/>
      <c r="L329" s="1" t="s">
        <v>51</v>
      </c>
      <c r="M329" s="1" t="s">
        <v>33</v>
      </c>
      <c r="N329" s="3"/>
      <c r="O329" s="1" t="s">
        <v>62</v>
      </c>
      <c r="P329" s="1" t="s">
        <v>53</v>
      </c>
      <c r="Q329" s="1" t="s">
        <v>36</v>
      </c>
      <c r="R329" s="1" t="s">
        <v>35</v>
      </c>
      <c r="S329" s="4" t="s">
        <v>63</v>
      </c>
      <c r="T329" s="1" t="s">
        <v>223</v>
      </c>
      <c r="U329" s="5"/>
      <c r="V329" s="5"/>
      <c r="W329" s="6"/>
      <c r="X329" s="6"/>
      <c r="Y329" s="6"/>
      <c r="Z329" s="3"/>
    </row>
    <row r="330">
      <c r="A330" s="1">
        <v>102750.0</v>
      </c>
      <c r="B330" s="1" t="s">
        <v>1238</v>
      </c>
      <c r="C330" s="1" t="s">
        <v>1239</v>
      </c>
      <c r="D330" s="1" t="s">
        <v>28</v>
      </c>
      <c r="E330" s="1">
        <v>0.0</v>
      </c>
      <c r="F330" s="1">
        <v>0.0</v>
      </c>
      <c r="G330" s="1" t="s">
        <v>29</v>
      </c>
      <c r="H330" s="1" t="s">
        <v>569</v>
      </c>
      <c r="I330" s="1" t="s">
        <v>99</v>
      </c>
      <c r="J330" s="1" t="s">
        <v>31</v>
      </c>
      <c r="K330" s="1" t="s">
        <v>68</v>
      </c>
      <c r="L330" s="1" t="s">
        <v>43</v>
      </c>
      <c r="M330" s="1" t="s">
        <v>33</v>
      </c>
      <c r="N330" s="3"/>
      <c r="O330" s="1" t="s">
        <v>104</v>
      </c>
      <c r="P330" s="1" t="s">
        <v>53</v>
      </c>
      <c r="Q330" s="1" t="s">
        <v>36</v>
      </c>
      <c r="R330" s="1" t="s">
        <v>35</v>
      </c>
      <c r="S330" s="4" t="s">
        <v>63</v>
      </c>
      <c r="T330" s="1" t="s">
        <v>1115</v>
      </c>
      <c r="U330" s="5"/>
      <c r="V330" s="5"/>
      <c r="W330" s="6"/>
      <c r="X330" s="6"/>
      <c r="Y330" s="6"/>
      <c r="Z330" s="3"/>
    </row>
    <row r="331">
      <c r="A331" s="1">
        <v>165088.0</v>
      </c>
      <c r="B331" s="1" t="s">
        <v>1240</v>
      </c>
      <c r="C331" s="1" t="s">
        <v>1241</v>
      </c>
      <c r="D331" s="1" t="s">
        <v>28</v>
      </c>
      <c r="E331" s="1">
        <v>0.0</v>
      </c>
      <c r="F331" s="1">
        <v>0.0</v>
      </c>
      <c r="G331" s="1" t="s">
        <v>75</v>
      </c>
      <c r="H331" s="1" t="s">
        <v>569</v>
      </c>
      <c r="I331" s="1" t="s">
        <v>1242</v>
      </c>
      <c r="J331" s="1" t="s">
        <v>60</v>
      </c>
      <c r="K331" s="3"/>
      <c r="L331" s="1" t="s">
        <v>32</v>
      </c>
      <c r="M331" s="1" t="s">
        <v>33</v>
      </c>
      <c r="N331" s="3"/>
      <c r="O331" s="1" t="s">
        <v>104</v>
      </c>
      <c r="P331" s="1" t="s">
        <v>53</v>
      </c>
      <c r="Q331" s="1" t="s">
        <v>36</v>
      </c>
      <c r="R331" s="1" t="s">
        <v>35</v>
      </c>
      <c r="S331" s="4" t="s">
        <v>63</v>
      </c>
      <c r="T331" s="1" t="s">
        <v>490</v>
      </c>
      <c r="U331" s="5"/>
      <c r="V331" s="5"/>
      <c r="W331" s="6"/>
      <c r="X331" s="6"/>
      <c r="Y331" s="6"/>
      <c r="Z331" s="3"/>
    </row>
    <row r="332">
      <c r="A332" s="1">
        <v>113040.0</v>
      </c>
      <c r="B332" s="1" t="s">
        <v>1243</v>
      </c>
      <c r="C332" s="1" t="s">
        <v>1244</v>
      </c>
      <c r="D332" s="1" t="s">
        <v>28</v>
      </c>
      <c r="E332" s="1">
        <v>0.0</v>
      </c>
      <c r="F332" s="1">
        <v>0.0</v>
      </c>
      <c r="G332" s="1" t="s">
        <v>29</v>
      </c>
      <c r="H332" s="1" t="s">
        <v>569</v>
      </c>
      <c r="I332" s="1" t="s">
        <v>212</v>
      </c>
      <c r="J332" s="1" t="s">
        <v>60</v>
      </c>
      <c r="K332" s="1" t="s">
        <v>363</v>
      </c>
      <c r="L332" s="1" t="s">
        <v>32</v>
      </c>
      <c r="M332" s="1" t="s">
        <v>33</v>
      </c>
      <c r="N332" s="3"/>
      <c r="O332" s="1" t="s">
        <v>34</v>
      </c>
      <c r="P332" s="1" t="s">
        <v>53</v>
      </c>
      <c r="Q332" s="1" t="s">
        <v>36</v>
      </c>
      <c r="R332" s="1" t="s">
        <v>35</v>
      </c>
      <c r="S332" s="4" t="s">
        <v>63</v>
      </c>
      <c r="T332" s="1" t="s">
        <v>1245</v>
      </c>
      <c r="U332" s="5"/>
      <c r="V332" s="5"/>
      <c r="W332" s="6"/>
      <c r="X332" s="6"/>
      <c r="Y332" s="6"/>
      <c r="Z332" s="3"/>
    </row>
    <row r="333">
      <c r="A333" s="1">
        <v>213639.0</v>
      </c>
      <c r="B333" s="1" t="s">
        <v>1246</v>
      </c>
      <c r="C333" s="1" t="s">
        <v>1247</v>
      </c>
      <c r="D333" s="1" t="s">
        <v>28</v>
      </c>
      <c r="E333" s="2">
        <v>12000.0</v>
      </c>
      <c r="F333" s="2">
        <f>E333*1.15</f>
        <v>13800</v>
      </c>
      <c r="G333" s="1" t="s">
        <v>29</v>
      </c>
      <c r="H333" s="1" t="s">
        <v>569</v>
      </c>
      <c r="I333" s="1" t="s">
        <v>1175</v>
      </c>
      <c r="J333" s="1" t="s">
        <v>50</v>
      </c>
      <c r="K333" s="3"/>
      <c r="L333" s="1" t="s">
        <v>32</v>
      </c>
      <c r="M333" s="1" t="s">
        <v>52</v>
      </c>
      <c r="N333" s="1">
        <v>200000.0</v>
      </c>
      <c r="O333" s="1" t="s">
        <v>70</v>
      </c>
      <c r="P333" s="1" t="s">
        <v>53</v>
      </c>
      <c r="Q333" s="1" t="s">
        <v>36</v>
      </c>
      <c r="R333" s="1" t="s">
        <v>35</v>
      </c>
      <c r="S333" s="4" t="s">
        <v>63</v>
      </c>
      <c r="T333" s="1" t="s">
        <v>801</v>
      </c>
      <c r="U333" s="5">
        <f t="shared" ref="U333:U356" si="166">(F333/E333)-1</f>
        <v>0.15</v>
      </c>
      <c r="V333" s="5">
        <f t="shared" ref="V333:V356" si="167">ROUNDDOWN(N333/E333,0)</f>
        <v>16</v>
      </c>
      <c r="W333" s="6">
        <f t="shared" ref="W333:W356" si="168">13.33*E333+N333</f>
        <v>359960</v>
      </c>
      <c r="X333" s="6"/>
      <c r="Y333" s="6">
        <f t="shared" ref="Y333:Y356" si="169">W333+(W333*U333)</f>
        <v>413954</v>
      </c>
      <c r="Z333" s="3"/>
    </row>
    <row r="334">
      <c r="A334" s="1">
        <v>107925.0</v>
      </c>
      <c r="B334" s="1" t="s">
        <v>1248</v>
      </c>
      <c r="C334" s="1" t="s">
        <v>1249</v>
      </c>
      <c r="D334" s="1" t="s">
        <v>28</v>
      </c>
      <c r="E334" s="2">
        <v>12500.0</v>
      </c>
      <c r="F334" s="2">
        <v>15000.0</v>
      </c>
      <c r="G334" s="1" t="s">
        <v>29</v>
      </c>
      <c r="H334" s="1" t="s">
        <v>569</v>
      </c>
      <c r="I334" s="1" t="s">
        <v>1250</v>
      </c>
      <c r="J334" s="1" t="s">
        <v>77</v>
      </c>
      <c r="K334" s="1" t="s">
        <v>68</v>
      </c>
      <c r="L334" s="1" t="s">
        <v>32</v>
      </c>
      <c r="M334" s="1" t="s">
        <v>52</v>
      </c>
      <c r="N334" s="1">
        <v>0.0</v>
      </c>
      <c r="O334" s="1" t="s">
        <v>204</v>
      </c>
      <c r="P334" s="1" t="s">
        <v>35</v>
      </c>
      <c r="Q334" s="1" t="s">
        <v>172</v>
      </c>
      <c r="R334" s="1" t="s">
        <v>35</v>
      </c>
      <c r="S334" s="4" t="s">
        <v>63</v>
      </c>
      <c r="T334" s="1" t="s">
        <v>337</v>
      </c>
      <c r="U334" s="5">
        <f t="shared" si="166"/>
        <v>0.2</v>
      </c>
      <c r="V334" s="5">
        <f t="shared" si="167"/>
        <v>0</v>
      </c>
      <c r="W334" s="6">
        <f t="shared" si="168"/>
        <v>166625</v>
      </c>
      <c r="X334" s="6"/>
      <c r="Y334" s="6">
        <f t="shared" si="169"/>
        <v>199950</v>
      </c>
      <c r="Z334" s="3"/>
    </row>
    <row r="335">
      <c r="A335" s="1">
        <v>108220.0</v>
      </c>
      <c r="B335" s="1" t="s">
        <v>1251</v>
      </c>
      <c r="C335" s="1" t="s">
        <v>1252</v>
      </c>
      <c r="D335" s="1" t="s">
        <v>28</v>
      </c>
      <c r="E335" s="2">
        <v>13000.0</v>
      </c>
      <c r="F335" s="2">
        <v>15600.0</v>
      </c>
      <c r="G335" s="1" t="s">
        <v>29</v>
      </c>
      <c r="H335" s="1" t="s">
        <v>569</v>
      </c>
      <c r="I335" s="1" t="s">
        <v>212</v>
      </c>
      <c r="J335" s="1" t="s">
        <v>60</v>
      </c>
      <c r="K335" s="1" t="s">
        <v>68</v>
      </c>
      <c r="L335" s="1" t="s">
        <v>51</v>
      </c>
      <c r="M335" s="1" t="s">
        <v>33</v>
      </c>
      <c r="N335" s="1">
        <v>0.0</v>
      </c>
      <c r="O335" s="1" t="s">
        <v>650</v>
      </c>
      <c r="P335" s="1" t="s">
        <v>53</v>
      </c>
      <c r="Q335" s="1" t="s">
        <v>54</v>
      </c>
      <c r="R335" s="1" t="s">
        <v>35</v>
      </c>
      <c r="S335" s="4" t="s">
        <v>63</v>
      </c>
      <c r="T335" s="1" t="s">
        <v>264</v>
      </c>
      <c r="U335" s="5">
        <f t="shared" si="166"/>
        <v>0.2</v>
      </c>
      <c r="V335" s="5">
        <f t="shared" si="167"/>
        <v>0</v>
      </c>
      <c r="W335" s="6">
        <f t="shared" si="168"/>
        <v>173290</v>
      </c>
      <c r="X335" s="6"/>
      <c r="Y335" s="6">
        <f t="shared" si="169"/>
        <v>207948</v>
      </c>
      <c r="Z335" s="3"/>
    </row>
    <row r="336">
      <c r="A336" s="1">
        <v>107605.0</v>
      </c>
      <c r="B336" s="1" t="s">
        <v>1253</v>
      </c>
      <c r="C336" s="1" t="s">
        <v>1254</v>
      </c>
      <c r="D336" s="1" t="s">
        <v>28</v>
      </c>
      <c r="E336" s="2">
        <v>14000.0</v>
      </c>
      <c r="F336" s="2">
        <v>20000.0</v>
      </c>
      <c r="G336" s="1" t="s">
        <v>29</v>
      </c>
      <c r="H336" s="1" t="s">
        <v>569</v>
      </c>
      <c r="I336" s="1" t="s">
        <v>1255</v>
      </c>
      <c r="J336" s="1" t="s">
        <v>31</v>
      </c>
      <c r="K336" s="1" t="s">
        <v>268</v>
      </c>
      <c r="L336" s="1" t="s">
        <v>32</v>
      </c>
      <c r="M336" s="1" t="s">
        <v>52</v>
      </c>
      <c r="N336" s="1">
        <v>20000.0</v>
      </c>
      <c r="O336" s="1" t="s">
        <v>62</v>
      </c>
      <c r="P336" s="1" t="s">
        <v>53</v>
      </c>
      <c r="Q336" s="1" t="s">
        <v>54</v>
      </c>
      <c r="R336" s="1" t="s">
        <v>35</v>
      </c>
      <c r="S336" s="4" t="s">
        <v>63</v>
      </c>
      <c r="T336" s="1" t="s">
        <v>1256</v>
      </c>
      <c r="U336" s="5">
        <f t="shared" si="166"/>
        <v>0.4285714286</v>
      </c>
      <c r="V336" s="5">
        <f t="shared" si="167"/>
        <v>1</v>
      </c>
      <c r="W336" s="6">
        <f t="shared" si="168"/>
        <v>206620</v>
      </c>
      <c r="X336" s="6"/>
      <c r="Y336" s="6">
        <f t="shared" si="169"/>
        <v>295171.4286</v>
      </c>
      <c r="Z336" s="3"/>
    </row>
    <row r="337">
      <c r="A337" s="1">
        <v>108070.0</v>
      </c>
      <c r="B337" s="1" t="s">
        <v>1257</v>
      </c>
      <c r="C337" s="1" t="s">
        <v>1258</v>
      </c>
      <c r="D337" s="1" t="s">
        <v>28</v>
      </c>
      <c r="E337" s="2">
        <v>15000.0</v>
      </c>
      <c r="F337" s="2">
        <v>15000.0</v>
      </c>
      <c r="G337" s="1" t="s">
        <v>29</v>
      </c>
      <c r="H337" s="1" t="s">
        <v>569</v>
      </c>
      <c r="I337" s="1" t="s">
        <v>1107</v>
      </c>
      <c r="J337" s="1" t="s">
        <v>60</v>
      </c>
      <c r="K337" s="3"/>
      <c r="L337" s="1" t="s">
        <v>51</v>
      </c>
      <c r="M337" s="1" t="s">
        <v>52</v>
      </c>
      <c r="N337" s="1">
        <v>5000.0</v>
      </c>
      <c r="O337" s="1" t="s">
        <v>44</v>
      </c>
      <c r="P337" s="1" t="s">
        <v>35</v>
      </c>
      <c r="Q337" s="1" t="s">
        <v>54</v>
      </c>
      <c r="R337" s="1" t="s">
        <v>35</v>
      </c>
      <c r="S337" s="4" t="s">
        <v>63</v>
      </c>
      <c r="T337" s="1" t="s">
        <v>1259</v>
      </c>
      <c r="U337" s="5">
        <f t="shared" si="166"/>
        <v>0</v>
      </c>
      <c r="V337" s="5">
        <f t="shared" si="167"/>
        <v>0</v>
      </c>
      <c r="W337" s="6">
        <f t="shared" si="168"/>
        <v>204950</v>
      </c>
      <c r="X337" s="6"/>
      <c r="Y337" s="6">
        <f t="shared" si="169"/>
        <v>204950</v>
      </c>
      <c r="Z337" s="3"/>
    </row>
    <row r="338">
      <c r="A338" s="1">
        <v>153940.0</v>
      </c>
      <c r="B338" s="1" t="s">
        <v>1260</v>
      </c>
      <c r="C338" s="1" t="s">
        <v>1261</v>
      </c>
      <c r="D338" s="1" t="s">
        <v>28</v>
      </c>
      <c r="E338" s="2">
        <v>15000.0</v>
      </c>
      <c r="F338" s="2">
        <v>18000.0</v>
      </c>
      <c r="G338" s="1" t="s">
        <v>29</v>
      </c>
      <c r="H338" s="1" t="s">
        <v>569</v>
      </c>
      <c r="I338" s="1" t="s">
        <v>1262</v>
      </c>
      <c r="J338" s="1" t="s">
        <v>60</v>
      </c>
      <c r="K338" s="3"/>
      <c r="L338" s="1" t="s">
        <v>32</v>
      </c>
      <c r="M338" s="1" t="s">
        <v>52</v>
      </c>
      <c r="N338" s="1">
        <v>30000.0</v>
      </c>
      <c r="O338" s="1" t="s">
        <v>199</v>
      </c>
      <c r="P338" s="1" t="s">
        <v>35</v>
      </c>
      <c r="Q338" s="1" t="s">
        <v>36</v>
      </c>
      <c r="R338" s="1" t="s">
        <v>35</v>
      </c>
      <c r="S338" s="4" t="s">
        <v>63</v>
      </c>
      <c r="T338" s="1" t="s">
        <v>997</v>
      </c>
      <c r="U338" s="5">
        <f t="shared" si="166"/>
        <v>0.2</v>
      </c>
      <c r="V338" s="5">
        <f t="shared" si="167"/>
        <v>2</v>
      </c>
      <c r="W338" s="6">
        <f t="shared" si="168"/>
        <v>229950</v>
      </c>
      <c r="X338" s="6"/>
      <c r="Y338" s="6">
        <f t="shared" si="169"/>
        <v>275940</v>
      </c>
      <c r="Z338" s="3"/>
    </row>
    <row r="339">
      <c r="A339" s="1">
        <v>222700.0</v>
      </c>
      <c r="B339" s="1" t="s">
        <v>1263</v>
      </c>
      <c r="C339" s="1" t="s">
        <v>1264</v>
      </c>
      <c r="D339" s="1" t="s">
        <v>28</v>
      </c>
      <c r="E339" s="2">
        <v>15000.0</v>
      </c>
      <c r="F339" s="2">
        <v>18000.0</v>
      </c>
      <c r="G339" s="1" t="s">
        <v>29</v>
      </c>
      <c r="H339" s="1" t="s">
        <v>569</v>
      </c>
      <c r="I339" s="1" t="s">
        <v>1265</v>
      </c>
      <c r="J339" s="1" t="s">
        <v>60</v>
      </c>
      <c r="K339" s="3"/>
      <c r="L339" s="1" t="s">
        <v>32</v>
      </c>
      <c r="M339" s="1" t="s">
        <v>69</v>
      </c>
      <c r="N339" s="1">
        <v>110000.0</v>
      </c>
      <c r="O339" s="1" t="s">
        <v>70</v>
      </c>
      <c r="P339" s="1" t="s">
        <v>35</v>
      </c>
      <c r="Q339" s="1" t="s">
        <v>36</v>
      </c>
      <c r="R339" s="1" t="s">
        <v>35</v>
      </c>
      <c r="S339" s="4" t="s">
        <v>63</v>
      </c>
      <c r="T339" s="1" t="s">
        <v>256</v>
      </c>
      <c r="U339" s="5">
        <f t="shared" si="166"/>
        <v>0.2</v>
      </c>
      <c r="V339" s="5">
        <f t="shared" si="167"/>
        <v>7</v>
      </c>
      <c r="W339" s="6">
        <f t="shared" si="168"/>
        <v>309950</v>
      </c>
      <c r="X339" s="6"/>
      <c r="Y339" s="6">
        <f t="shared" si="169"/>
        <v>371940</v>
      </c>
      <c r="Z339" s="3"/>
    </row>
    <row r="340">
      <c r="A340" s="1">
        <v>104058.0</v>
      </c>
      <c r="B340" s="1" t="s">
        <v>1266</v>
      </c>
      <c r="C340" s="1" t="s">
        <v>1267</v>
      </c>
      <c r="D340" s="1" t="s">
        <v>28</v>
      </c>
      <c r="E340" s="2">
        <v>15000.0</v>
      </c>
      <c r="F340" s="2">
        <v>18000.0</v>
      </c>
      <c r="G340" s="1" t="s">
        <v>29</v>
      </c>
      <c r="H340" s="1" t="s">
        <v>569</v>
      </c>
      <c r="I340" s="1" t="s">
        <v>99</v>
      </c>
      <c r="J340" s="1" t="s">
        <v>31</v>
      </c>
      <c r="K340" s="3"/>
      <c r="L340" s="1" t="s">
        <v>32</v>
      </c>
      <c r="M340" s="1" t="s">
        <v>33</v>
      </c>
      <c r="N340" s="1">
        <v>20000.0</v>
      </c>
      <c r="O340" s="1" t="s">
        <v>78</v>
      </c>
      <c r="P340" s="1" t="s">
        <v>53</v>
      </c>
      <c r="Q340" s="1" t="s">
        <v>36</v>
      </c>
      <c r="R340" s="1" t="s">
        <v>35</v>
      </c>
      <c r="S340" s="4" t="s">
        <v>63</v>
      </c>
      <c r="T340" s="1" t="s">
        <v>1268</v>
      </c>
      <c r="U340" s="5">
        <f t="shared" si="166"/>
        <v>0.2</v>
      </c>
      <c r="V340" s="5">
        <f t="shared" si="167"/>
        <v>1</v>
      </c>
      <c r="W340" s="6">
        <f t="shared" si="168"/>
        <v>219950</v>
      </c>
      <c r="X340" s="6"/>
      <c r="Y340" s="6">
        <f t="shared" si="169"/>
        <v>263940</v>
      </c>
      <c r="Z340" s="3"/>
    </row>
    <row r="341">
      <c r="A341" s="1">
        <v>118102.0</v>
      </c>
      <c r="B341" s="1" t="s">
        <v>1269</v>
      </c>
      <c r="C341" s="1" t="s">
        <v>1270</v>
      </c>
      <c r="D341" s="1" t="s">
        <v>28</v>
      </c>
      <c r="E341" s="2">
        <v>15000.0</v>
      </c>
      <c r="F341" s="2">
        <v>20000.0</v>
      </c>
      <c r="G341" s="1" t="s">
        <v>29</v>
      </c>
      <c r="H341" s="1" t="s">
        <v>569</v>
      </c>
      <c r="I341" s="1" t="s">
        <v>1271</v>
      </c>
      <c r="J341" s="1" t="s">
        <v>77</v>
      </c>
      <c r="K341" s="3"/>
      <c r="L341" s="1" t="s">
        <v>51</v>
      </c>
      <c r="M341" s="1" t="s">
        <v>33</v>
      </c>
      <c r="N341" s="1">
        <v>20000.0</v>
      </c>
      <c r="O341" s="1" t="s">
        <v>104</v>
      </c>
      <c r="P341" s="1" t="s">
        <v>53</v>
      </c>
      <c r="Q341" s="1" t="s">
        <v>54</v>
      </c>
      <c r="R341" s="1" t="s">
        <v>35</v>
      </c>
      <c r="S341" s="4" t="s">
        <v>63</v>
      </c>
      <c r="T341" s="1" t="s">
        <v>141</v>
      </c>
      <c r="U341" s="5">
        <f t="shared" si="166"/>
        <v>0.3333333333</v>
      </c>
      <c r="V341" s="5">
        <f t="shared" si="167"/>
        <v>1</v>
      </c>
      <c r="W341" s="6">
        <f t="shared" si="168"/>
        <v>219950</v>
      </c>
      <c r="X341" s="6"/>
      <c r="Y341" s="6">
        <f t="shared" si="169"/>
        <v>293266.6667</v>
      </c>
      <c r="Z341" s="3"/>
    </row>
    <row r="342">
      <c r="A342" s="1">
        <v>121160.0</v>
      </c>
      <c r="B342" s="1" t="s">
        <v>1272</v>
      </c>
      <c r="C342" s="1" t="s">
        <v>1273</v>
      </c>
      <c r="D342" s="1" t="s">
        <v>28</v>
      </c>
      <c r="E342" s="2">
        <v>16000.0</v>
      </c>
      <c r="F342" s="2">
        <v>19200.0</v>
      </c>
      <c r="G342" s="1" t="s">
        <v>29</v>
      </c>
      <c r="H342" s="1" t="s">
        <v>569</v>
      </c>
      <c r="I342" s="1" t="s">
        <v>766</v>
      </c>
      <c r="J342" s="1" t="s">
        <v>77</v>
      </c>
      <c r="K342" s="1" t="s">
        <v>68</v>
      </c>
      <c r="L342" s="1" t="s">
        <v>32</v>
      </c>
      <c r="M342" s="1" t="s">
        <v>33</v>
      </c>
      <c r="N342" s="1">
        <v>120000.0</v>
      </c>
      <c r="O342" s="1" t="s">
        <v>34</v>
      </c>
      <c r="P342" s="1" t="s">
        <v>53</v>
      </c>
      <c r="Q342" s="1" t="s">
        <v>36</v>
      </c>
      <c r="R342" s="1" t="s">
        <v>35</v>
      </c>
      <c r="S342" s="4" t="s">
        <v>63</v>
      </c>
      <c r="T342" s="1" t="s">
        <v>1274</v>
      </c>
      <c r="U342" s="5">
        <f t="shared" si="166"/>
        <v>0.2</v>
      </c>
      <c r="V342" s="5">
        <f t="shared" si="167"/>
        <v>7</v>
      </c>
      <c r="W342" s="6">
        <f t="shared" si="168"/>
        <v>333280</v>
      </c>
      <c r="X342" s="6"/>
      <c r="Y342" s="6">
        <f t="shared" si="169"/>
        <v>399936</v>
      </c>
      <c r="Z342" s="3"/>
    </row>
    <row r="343">
      <c r="A343" s="1">
        <v>110962.0</v>
      </c>
      <c r="B343" s="1" t="s">
        <v>1275</v>
      </c>
      <c r="C343" s="1" t="s">
        <v>1276</v>
      </c>
      <c r="D343" s="1" t="s">
        <v>28</v>
      </c>
      <c r="E343" s="2">
        <v>18000.0</v>
      </c>
      <c r="F343" s="2">
        <v>25000.0</v>
      </c>
      <c r="G343" s="1" t="s">
        <v>29</v>
      </c>
      <c r="H343" s="1" t="s">
        <v>569</v>
      </c>
      <c r="I343" s="1" t="s">
        <v>1277</v>
      </c>
      <c r="J343" s="1" t="s">
        <v>77</v>
      </c>
      <c r="K343" s="3"/>
      <c r="L343" s="1" t="s">
        <v>51</v>
      </c>
      <c r="M343" s="1" t="s">
        <v>33</v>
      </c>
      <c r="N343" s="1">
        <v>10000.0</v>
      </c>
      <c r="O343" s="1" t="s">
        <v>140</v>
      </c>
      <c r="P343" s="1" t="s">
        <v>35</v>
      </c>
      <c r="Q343" s="1" t="s">
        <v>54</v>
      </c>
      <c r="R343" s="1" t="s">
        <v>35</v>
      </c>
      <c r="S343" s="4" t="s">
        <v>63</v>
      </c>
      <c r="T343" s="1" t="s">
        <v>209</v>
      </c>
      <c r="U343" s="5">
        <f t="shared" si="166"/>
        <v>0.3888888889</v>
      </c>
      <c r="V343" s="5">
        <f t="shared" si="167"/>
        <v>0</v>
      </c>
      <c r="W343" s="6">
        <f t="shared" si="168"/>
        <v>249940</v>
      </c>
      <c r="X343" s="6"/>
      <c r="Y343" s="6">
        <f t="shared" si="169"/>
        <v>347138.8889</v>
      </c>
      <c r="Z343" s="3"/>
    </row>
    <row r="344">
      <c r="A344" s="1">
        <v>104048.0</v>
      </c>
      <c r="B344" s="1" t="s">
        <v>1278</v>
      </c>
      <c r="C344" s="1" t="s">
        <v>1279</v>
      </c>
      <c r="D344" s="1" t="s">
        <v>28</v>
      </c>
      <c r="E344" s="2">
        <v>18000.0</v>
      </c>
      <c r="F344" s="2">
        <v>25000.0</v>
      </c>
      <c r="G344" s="1" t="s">
        <v>29</v>
      </c>
      <c r="H344" s="1" t="s">
        <v>569</v>
      </c>
      <c r="I344" s="1" t="s">
        <v>1280</v>
      </c>
      <c r="J344" s="1" t="s">
        <v>77</v>
      </c>
      <c r="K344" s="3"/>
      <c r="L344" s="1" t="s">
        <v>51</v>
      </c>
      <c r="M344" s="1" t="s">
        <v>52</v>
      </c>
      <c r="N344" s="1">
        <v>0.0</v>
      </c>
      <c r="O344" s="1" t="s">
        <v>44</v>
      </c>
      <c r="P344" s="1" t="s">
        <v>53</v>
      </c>
      <c r="Q344" s="1" t="s">
        <v>36</v>
      </c>
      <c r="R344" s="1" t="s">
        <v>35</v>
      </c>
      <c r="S344" s="4" t="s">
        <v>63</v>
      </c>
      <c r="T344" s="1" t="s">
        <v>153</v>
      </c>
      <c r="U344" s="5">
        <f t="shared" si="166"/>
        <v>0.3888888889</v>
      </c>
      <c r="V344" s="5">
        <f t="shared" si="167"/>
        <v>0</v>
      </c>
      <c r="W344" s="6">
        <f t="shared" si="168"/>
        <v>239940</v>
      </c>
      <c r="X344" s="6"/>
      <c r="Y344" s="6">
        <f t="shared" si="169"/>
        <v>333250</v>
      </c>
      <c r="Z344" s="3"/>
    </row>
    <row r="345">
      <c r="A345" s="1">
        <v>222486.0</v>
      </c>
      <c r="B345" s="1" t="s">
        <v>1281</v>
      </c>
      <c r="C345" s="1" t="s">
        <v>1282</v>
      </c>
      <c r="D345" s="1" t="s">
        <v>28</v>
      </c>
      <c r="E345" s="2">
        <v>18500.0</v>
      </c>
      <c r="F345" s="2">
        <f t="shared" ref="F345:F346" si="170">E345*1.12</f>
        <v>20720</v>
      </c>
      <c r="G345" s="1" t="s">
        <v>29</v>
      </c>
      <c r="H345" s="1" t="s">
        <v>569</v>
      </c>
      <c r="I345" s="1" t="s">
        <v>1283</v>
      </c>
      <c r="J345" s="1" t="s">
        <v>60</v>
      </c>
      <c r="K345" s="3"/>
      <c r="L345" s="1" t="s">
        <v>51</v>
      </c>
      <c r="M345" s="1" t="s">
        <v>52</v>
      </c>
      <c r="N345" s="1">
        <v>0.0</v>
      </c>
      <c r="O345" s="1" t="s">
        <v>70</v>
      </c>
      <c r="P345" s="1" t="s">
        <v>35</v>
      </c>
      <c r="Q345" s="1" t="s">
        <v>36</v>
      </c>
      <c r="R345" s="1" t="s">
        <v>35</v>
      </c>
      <c r="S345" s="4" t="s">
        <v>63</v>
      </c>
      <c r="T345" s="1" t="s">
        <v>1284</v>
      </c>
      <c r="U345" s="5">
        <f t="shared" si="166"/>
        <v>0.12</v>
      </c>
      <c r="V345" s="5">
        <f t="shared" si="167"/>
        <v>0</v>
      </c>
      <c r="W345" s="6">
        <f t="shared" si="168"/>
        <v>246605</v>
      </c>
      <c r="X345" s="6"/>
      <c r="Y345" s="6">
        <f t="shared" si="169"/>
        <v>276197.6</v>
      </c>
      <c r="Z345" s="3"/>
    </row>
    <row r="346">
      <c r="A346" s="1">
        <v>107660.0</v>
      </c>
      <c r="B346" s="1" t="s">
        <v>1285</v>
      </c>
      <c r="C346" s="1" t="s">
        <v>1286</v>
      </c>
      <c r="D346" s="1" t="s">
        <v>28</v>
      </c>
      <c r="E346" s="2">
        <v>20000.0</v>
      </c>
      <c r="F346" s="2">
        <f t="shared" si="170"/>
        <v>22400</v>
      </c>
      <c r="G346" s="1" t="s">
        <v>29</v>
      </c>
      <c r="H346" s="1" t="s">
        <v>569</v>
      </c>
      <c r="I346" s="1" t="s">
        <v>1287</v>
      </c>
      <c r="J346" s="1" t="s">
        <v>50</v>
      </c>
      <c r="K346" s="1" t="s">
        <v>68</v>
      </c>
      <c r="L346" s="1" t="s">
        <v>32</v>
      </c>
      <c r="M346" s="1" t="s">
        <v>33</v>
      </c>
      <c r="N346" s="1">
        <v>20000.0</v>
      </c>
      <c r="O346" s="1" t="s">
        <v>70</v>
      </c>
      <c r="P346" s="1" t="s">
        <v>53</v>
      </c>
      <c r="Q346" s="1" t="s">
        <v>36</v>
      </c>
      <c r="R346" s="1" t="s">
        <v>35</v>
      </c>
      <c r="S346" s="4" t="s">
        <v>63</v>
      </c>
      <c r="T346" s="1" t="s">
        <v>375</v>
      </c>
      <c r="U346" s="5">
        <f t="shared" si="166"/>
        <v>0.12</v>
      </c>
      <c r="V346" s="5">
        <f t="shared" si="167"/>
        <v>1</v>
      </c>
      <c r="W346" s="6">
        <f t="shared" si="168"/>
        <v>286600</v>
      </c>
      <c r="X346" s="6"/>
      <c r="Y346" s="6">
        <f t="shared" si="169"/>
        <v>320992</v>
      </c>
      <c r="Z346" s="3"/>
    </row>
    <row r="347">
      <c r="A347" s="1">
        <v>136772.0</v>
      </c>
      <c r="B347" s="1" t="s">
        <v>1288</v>
      </c>
      <c r="C347" s="1" t="s">
        <v>1289</v>
      </c>
      <c r="D347" s="1" t="s">
        <v>28</v>
      </c>
      <c r="E347" s="2">
        <v>20000.0</v>
      </c>
      <c r="F347" s="2">
        <v>20000.0</v>
      </c>
      <c r="G347" s="1" t="s">
        <v>29</v>
      </c>
      <c r="H347" s="1" t="s">
        <v>569</v>
      </c>
      <c r="I347" s="1" t="s">
        <v>31</v>
      </c>
      <c r="J347" s="1" t="s">
        <v>31</v>
      </c>
      <c r="K347" s="1" t="s">
        <v>68</v>
      </c>
      <c r="L347" s="1" t="s">
        <v>61</v>
      </c>
      <c r="M347" s="1" t="s">
        <v>33</v>
      </c>
      <c r="N347" s="1">
        <v>100000.0</v>
      </c>
      <c r="O347" s="1" t="s">
        <v>34</v>
      </c>
      <c r="P347" s="1" t="s">
        <v>53</v>
      </c>
      <c r="Q347" s="1" t="s">
        <v>172</v>
      </c>
      <c r="R347" s="1" t="s">
        <v>35</v>
      </c>
      <c r="S347" s="4" t="s">
        <v>63</v>
      </c>
      <c r="T347" s="1" t="s">
        <v>337</v>
      </c>
      <c r="U347" s="5">
        <f t="shared" si="166"/>
        <v>0</v>
      </c>
      <c r="V347" s="5">
        <f t="shared" si="167"/>
        <v>5</v>
      </c>
      <c r="W347" s="6">
        <f t="shared" si="168"/>
        <v>366600</v>
      </c>
      <c r="X347" s="6"/>
      <c r="Y347" s="6">
        <f t="shared" si="169"/>
        <v>366600</v>
      </c>
      <c r="Z347" s="3"/>
    </row>
    <row r="348">
      <c r="A348" s="1">
        <v>208485.0</v>
      </c>
      <c r="B348" s="1" t="s">
        <v>1290</v>
      </c>
      <c r="C348" s="1" t="s">
        <v>1291</v>
      </c>
      <c r="D348" s="1" t="s">
        <v>28</v>
      </c>
      <c r="E348" s="2">
        <v>20000.0</v>
      </c>
      <c r="F348" s="2">
        <v>25000.0</v>
      </c>
      <c r="G348" s="1" t="s">
        <v>75</v>
      </c>
      <c r="H348" s="1" t="s">
        <v>569</v>
      </c>
      <c r="I348" s="1" t="s">
        <v>1292</v>
      </c>
      <c r="J348" s="1" t="s">
        <v>60</v>
      </c>
      <c r="K348" s="3"/>
      <c r="L348" s="1" t="s">
        <v>32</v>
      </c>
      <c r="M348" s="1" t="s">
        <v>52</v>
      </c>
      <c r="N348" s="1">
        <v>40000.0</v>
      </c>
      <c r="O348" s="1" t="s">
        <v>280</v>
      </c>
      <c r="P348" s="1" t="s">
        <v>35</v>
      </c>
      <c r="Q348" s="1" t="s">
        <v>36</v>
      </c>
      <c r="R348" s="1" t="s">
        <v>35</v>
      </c>
      <c r="S348" s="4" t="s">
        <v>63</v>
      </c>
      <c r="T348" s="1" t="s">
        <v>1293</v>
      </c>
      <c r="U348" s="5">
        <f t="shared" si="166"/>
        <v>0.25</v>
      </c>
      <c r="V348" s="5">
        <f t="shared" si="167"/>
        <v>2</v>
      </c>
      <c r="W348" s="6">
        <f t="shared" si="168"/>
        <v>306600</v>
      </c>
      <c r="X348" s="6"/>
      <c r="Y348" s="6">
        <f t="shared" si="169"/>
        <v>383250</v>
      </c>
      <c r="Z348" s="3"/>
    </row>
    <row r="349">
      <c r="A349" s="1">
        <v>103827.0</v>
      </c>
      <c r="B349" s="1" t="s">
        <v>1294</v>
      </c>
      <c r="C349" s="1" t="s">
        <v>1295</v>
      </c>
      <c r="D349" s="1" t="s">
        <v>28</v>
      </c>
      <c r="E349" s="2">
        <v>20000.0</v>
      </c>
      <c r="F349" s="2">
        <v>25000.0</v>
      </c>
      <c r="G349" s="1" t="s">
        <v>29</v>
      </c>
      <c r="H349" s="1" t="s">
        <v>569</v>
      </c>
      <c r="I349" s="1" t="s">
        <v>212</v>
      </c>
      <c r="J349" s="1" t="s">
        <v>60</v>
      </c>
      <c r="K349" s="3"/>
      <c r="L349" s="1" t="s">
        <v>32</v>
      </c>
      <c r="M349" s="1" t="s">
        <v>33</v>
      </c>
      <c r="N349" s="1">
        <v>10000.0</v>
      </c>
      <c r="O349" s="1" t="s">
        <v>199</v>
      </c>
      <c r="P349" s="1" t="s">
        <v>53</v>
      </c>
      <c r="Q349" s="1" t="s">
        <v>36</v>
      </c>
      <c r="R349" s="1" t="s">
        <v>35</v>
      </c>
      <c r="S349" s="4" t="s">
        <v>63</v>
      </c>
      <c r="T349" s="1" t="s">
        <v>1296</v>
      </c>
      <c r="U349" s="5">
        <f t="shared" si="166"/>
        <v>0.25</v>
      </c>
      <c r="V349" s="5">
        <f t="shared" si="167"/>
        <v>0</v>
      </c>
      <c r="W349" s="6">
        <f t="shared" si="168"/>
        <v>276600</v>
      </c>
      <c r="X349" s="6"/>
      <c r="Y349" s="6">
        <f t="shared" si="169"/>
        <v>345750</v>
      </c>
      <c r="Z349" s="3"/>
    </row>
    <row r="350">
      <c r="A350" s="1">
        <v>153416.0</v>
      </c>
      <c r="B350" s="1" t="s">
        <v>1297</v>
      </c>
      <c r="C350" s="1" t="s">
        <v>1298</v>
      </c>
      <c r="D350" s="1" t="s">
        <v>28</v>
      </c>
      <c r="E350" s="2">
        <v>20500.0</v>
      </c>
      <c r="F350" s="2">
        <v>21000.0</v>
      </c>
      <c r="G350" s="1" t="s">
        <v>29</v>
      </c>
      <c r="H350" s="1" t="s">
        <v>569</v>
      </c>
      <c r="I350" s="1" t="s">
        <v>1299</v>
      </c>
      <c r="J350" s="1" t="s">
        <v>60</v>
      </c>
      <c r="K350" s="3"/>
      <c r="L350" s="1" t="s">
        <v>51</v>
      </c>
      <c r="M350" s="1" t="s">
        <v>52</v>
      </c>
      <c r="N350" s="1">
        <v>75000.0</v>
      </c>
      <c r="O350" s="1" t="s">
        <v>70</v>
      </c>
      <c r="P350" s="1" t="s">
        <v>53</v>
      </c>
      <c r="Q350" s="1" t="s">
        <v>36</v>
      </c>
      <c r="R350" s="1" t="s">
        <v>35</v>
      </c>
      <c r="S350" s="4" t="s">
        <v>63</v>
      </c>
      <c r="T350" s="1" t="s">
        <v>1300</v>
      </c>
      <c r="U350" s="5">
        <f t="shared" si="166"/>
        <v>0.0243902439</v>
      </c>
      <c r="V350" s="5">
        <f t="shared" si="167"/>
        <v>3</v>
      </c>
      <c r="W350" s="6">
        <f t="shared" si="168"/>
        <v>348265</v>
      </c>
      <c r="X350" s="6"/>
      <c r="Y350" s="6">
        <f t="shared" si="169"/>
        <v>356759.2683</v>
      </c>
      <c r="Z350" s="3"/>
    </row>
    <row r="351">
      <c r="A351" s="1">
        <v>113287.0</v>
      </c>
      <c r="B351" s="1" t="s">
        <v>1301</v>
      </c>
      <c r="C351" s="1" t="s">
        <v>1302</v>
      </c>
      <c r="D351" s="1" t="s">
        <v>28</v>
      </c>
      <c r="E351" s="2">
        <v>21000.0</v>
      </c>
      <c r="F351" s="2">
        <v>25000.0</v>
      </c>
      <c r="G351" s="1" t="s">
        <v>29</v>
      </c>
      <c r="H351" s="1" t="s">
        <v>569</v>
      </c>
      <c r="I351" s="1" t="s">
        <v>1303</v>
      </c>
      <c r="J351" s="1" t="s">
        <v>31</v>
      </c>
      <c r="K351" s="1" t="s">
        <v>726</v>
      </c>
      <c r="L351" s="1" t="s">
        <v>32</v>
      </c>
      <c r="M351" s="1" t="s">
        <v>52</v>
      </c>
      <c r="N351" s="1">
        <v>0.0</v>
      </c>
      <c r="O351" s="1" t="s">
        <v>984</v>
      </c>
      <c r="P351" s="1" t="s">
        <v>53</v>
      </c>
      <c r="Q351" s="1" t="s">
        <v>36</v>
      </c>
      <c r="R351" s="1" t="s">
        <v>35</v>
      </c>
      <c r="S351" s="4" t="s">
        <v>63</v>
      </c>
      <c r="T351" s="1" t="s">
        <v>1304</v>
      </c>
      <c r="U351" s="5">
        <f t="shared" si="166"/>
        <v>0.1904761905</v>
      </c>
      <c r="V351" s="5">
        <f t="shared" si="167"/>
        <v>0</v>
      </c>
      <c r="W351" s="6">
        <f t="shared" si="168"/>
        <v>279930</v>
      </c>
      <c r="X351" s="6"/>
      <c r="Y351" s="6">
        <f t="shared" si="169"/>
        <v>333250</v>
      </c>
      <c r="Z351" s="3"/>
    </row>
    <row r="352">
      <c r="A352" s="1">
        <v>108064.0</v>
      </c>
      <c r="B352" s="1" t="s">
        <v>1305</v>
      </c>
      <c r="C352" s="1" t="s">
        <v>1306</v>
      </c>
      <c r="D352" s="1" t="s">
        <v>28</v>
      </c>
      <c r="E352" s="2">
        <v>21500.0</v>
      </c>
      <c r="F352" s="2">
        <f>E352*1.2</f>
        <v>25800</v>
      </c>
      <c r="G352" s="1" t="s">
        <v>29</v>
      </c>
      <c r="H352" s="1" t="s">
        <v>569</v>
      </c>
      <c r="I352" s="1" t="s">
        <v>1307</v>
      </c>
      <c r="J352" s="1" t="s">
        <v>77</v>
      </c>
      <c r="K352" s="1" t="s">
        <v>68</v>
      </c>
      <c r="L352" s="1" t="s">
        <v>51</v>
      </c>
      <c r="M352" s="1" t="s">
        <v>33</v>
      </c>
      <c r="N352" s="1">
        <v>4000.0</v>
      </c>
      <c r="O352" s="1" t="s">
        <v>44</v>
      </c>
      <c r="P352" s="1" t="s">
        <v>53</v>
      </c>
      <c r="Q352" s="1" t="s">
        <v>54</v>
      </c>
      <c r="R352" s="1" t="s">
        <v>35</v>
      </c>
      <c r="S352" s="4" t="s">
        <v>63</v>
      </c>
      <c r="T352" s="1" t="s">
        <v>1308</v>
      </c>
      <c r="U352" s="5">
        <f t="shared" si="166"/>
        <v>0.2</v>
      </c>
      <c r="V352" s="5">
        <f t="shared" si="167"/>
        <v>0</v>
      </c>
      <c r="W352" s="6">
        <f t="shared" si="168"/>
        <v>290595</v>
      </c>
      <c r="X352" s="6"/>
      <c r="Y352" s="6">
        <f t="shared" si="169"/>
        <v>348714</v>
      </c>
      <c r="Z352" s="3"/>
    </row>
    <row r="353">
      <c r="A353" s="1">
        <v>207703.0</v>
      </c>
      <c r="B353" s="1" t="s">
        <v>1309</v>
      </c>
      <c r="C353" s="1" t="s">
        <v>1310</v>
      </c>
      <c r="D353" s="1" t="s">
        <v>28</v>
      </c>
      <c r="E353" s="2">
        <v>25000.0</v>
      </c>
      <c r="F353" s="2">
        <v>27000.0</v>
      </c>
      <c r="G353" s="1" t="s">
        <v>29</v>
      </c>
      <c r="H353" s="1" t="s">
        <v>569</v>
      </c>
      <c r="I353" s="1" t="s">
        <v>1107</v>
      </c>
      <c r="J353" s="1" t="s">
        <v>60</v>
      </c>
      <c r="K353" s="3"/>
      <c r="L353" s="1" t="s">
        <v>51</v>
      </c>
      <c r="M353" s="1" t="s">
        <v>52</v>
      </c>
      <c r="N353" s="1">
        <v>0.0</v>
      </c>
      <c r="O353" s="1" t="s">
        <v>44</v>
      </c>
      <c r="P353" s="1" t="s">
        <v>53</v>
      </c>
      <c r="Q353" s="1" t="s">
        <v>172</v>
      </c>
      <c r="R353" s="1" t="s">
        <v>35</v>
      </c>
      <c r="S353" s="4" t="s">
        <v>63</v>
      </c>
      <c r="T353" s="1" t="s">
        <v>880</v>
      </c>
      <c r="U353" s="5">
        <f t="shared" si="166"/>
        <v>0.08</v>
      </c>
      <c r="V353" s="5">
        <f t="shared" si="167"/>
        <v>0</v>
      </c>
      <c r="W353" s="6">
        <f t="shared" si="168"/>
        <v>333250</v>
      </c>
      <c r="X353" s="6"/>
      <c r="Y353" s="6">
        <f t="shared" si="169"/>
        <v>359910</v>
      </c>
      <c r="Z353" s="3"/>
    </row>
    <row r="354">
      <c r="A354" s="1">
        <v>222435.0</v>
      </c>
      <c r="B354" s="1" t="s">
        <v>1311</v>
      </c>
      <c r="C354" s="2">
        <v>25000.0</v>
      </c>
      <c r="D354" s="1" t="s">
        <v>28</v>
      </c>
      <c r="E354" s="2">
        <v>25000.0</v>
      </c>
      <c r="F354" s="2">
        <v>30000.0</v>
      </c>
      <c r="G354" s="1" t="s">
        <v>29</v>
      </c>
      <c r="H354" s="1" t="s">
        <v>569</v>
      </c>
      <c r="I354" s="1" t="s">
        <v>31</v>
      </c>
      <c r="J354" s="1" t="s">
        <v>31</v>
      </c>
      <c r="K354" s="3"/>
      <c r="L354" s="1" t="s">
        <v>32</v>
      </c>
      <c r="M354" s="1" t="s">
        <v>52</v>
      </c>
      <c r="N354" s="1">
        <v>0.0</v>
      </c>
      <c r="O354" s="1" t="s">
        <v>44</v>
      </c>
      <c r="P354" s="1" t="s">
        <v>53</v>
      </c>
      <c r="Q354" s="1" t="s">
        <v>36</v>
      </c>
      <c r="R354" s="1" t="s">
        <v>53</v>
      </c>
      <c r="S354" s="4" t="s">
        <v>63</v>
      </c>
      <c r="T354" s="1" t="s">
        <v>261</v>
      </c>
      <c r="U354" s="5">
        <f t="shared" si="166"/>
        <v>0.2</v>
      </c>
      <c r="V354" s="5">
        <f t="shared" si="167"/>
        <v>0</v>
      </c>
      <c r="W354" s="6">
        <f t="shared" si="168"/>
        <v>333250</v>
      </c>
      <c r="X354" s="6"/>
      <c r="Y354" s="6">
        <f t="shared" si="169"/>
        <v>399900</v>
      </c>
      <c r="Z354" s="3"/>
    </row>
    <row r="355">
      <c r="A355" s="1">
        <v>108150.0</v>
      </c>
      <c r="B355" s="1" t="s">
        <v>1312</v>
      </c>
      <c r="C355" s="1" t="s">
        <v>1313</v>
      </c>
      <c r="D355" s="1" t="s">
        <v>28</v>
      </c>
      <c r="E355" s="2">
        <v>15000.0</v>
      </c>
      <c r="F355" s="2">
        <v>16500.0</v>
      </c>
      <c r="G355" s="1" t="s">
        <v>29</v>
      </c>
      <c r="H355" s="1" t="s">
        <v>1314</v>
      </c>
      <c r="I355" s="1" t="s">
        <v>212</v>
      </c>
      <c r="J355" s="1" t="s">
        <v>60</v>
      </c>
      <c r="K355" s="3"/>
      <c r="L355" s="1" t="s">
        <v>32</v>
      </c>
      <c r="M355" s="1" t="s">
        <v>33</v>
      </c>
      <c r="N355" s="1">
        <v>15000.0</v>
      </c>
      <c r="O355" s="1" t="s">
        <v>34</v>
      </c>
      <c r="P355" s="1" t="s">
        <v>35</v>
      </c>
      <c r="Q355" s="1" t="s">
        <v>36</v>
      </c>
      <c r="R355" s="1" t="s">
        <v>35</v>
      </c>
      <c r="S355" s="4" t="s">
        <v>63</v>
      </c>
      <c r="T355" s="1" t="s">
        <v>153</v>
      </c>
      <c r="U355" s="5">
        <f t="shared" si="166"/>
        <v>0.1</v>
      </c>
      <c r="V355" s="5">
        <f t="shared" si="167"/>
        <v>1</v>
      </c>
      <c r="W355" s="6">
        <f t="shared" si="168"/>
        <v>214950</v>
      </c>
      <c r="X355" s="6"/>
      <c r="Y355" s="6">
        <f t="shared" si="169"/>
        <v>236445</v>
      </c>
      <c r="Z355" s="3"/>
    </row>
    <row r="356">
      <c r="A356" s="1">
        <v>123240.0</v>
      </c>
      <c r="B356" s="1" t="s">
        <v>1315</v>
      </c>
      <c r="C356" s="1" t="s">
        <v>1316</v>
      </c>
      <c r="D356" s="1" t="s">
        <v>28</v>
      </c>
      <c r="E356" s="2">
        <v>24200.0</v>
      </c>
      <c r="F356" s="2">
        <v>27000.0</v>
      </c>
      <c r="G356" s="1" t="s">
        <v>29</v>
      </c>
      <c r="H356" s="1" t="s">
        <v>1317</v>
      </c>
      <c r="I356" s="1" t="s">
        <v>439</v>
      </c>
      <c r="J356" s="1" t="s">
        <v>60</v>
      </c>
      <c r="K356" s="1" t="s">
        <v>68</v>
      </c>
      <c r="L356" s="1" t="s">
        <v>51</v>
      </c>
      <c r="M356" s="1" t="s">
        <v>52</v>
      </c>
      <c r="N356" s="1">
        <v>121000.0</v>
      </c>
      <c r="O356" s="1" t="s">
        <v>34</v>
      </c>
      <c r="P356" s="1" t="s">
        <v>53</v>
      </c>
      <c r="Q356" s="1" t="s">
        <v>54</v>
      </c>
      <c r="R356" s="1" t="s">
        <v>35</v>
      </c>
      <c r="S356" s="4" t="s">
        <v>63</v>
      </c>
      <c r="T356" s="1" t="s">
        <v>240</v>
      </c>
      <c r="U356" s="5">
        <f t="shared" si="166"/>
        <v>0.1157024793</v>
      </c>
      <c r="V356" s="5">
        <f t="shared" si="167"/>
        <v>5</v>
      </c>
      <c r="W356" s="6">
        <f t="shared" si="168"/>
        <v>443586</v>
      </c>
      <c r="X356" s="6" t="str">
        <f>IF(W356&lt;100000,"abaixo de R$100.000",IF(AND(W356&gt;=100000,W356&lt;200000),"R$100.000 - R$200.000",IF(AND(W356&gt;=200000,W356&lt;300000),"R$200.000 - R$300.000",IF(AND(W356&gt;=300000,W356&lt;400000),"R$300.000 - R$400.000",IF(AND(W356&gt;=400000,W356&lt;500000),"R$400.000 - R$500.000",IF(AND(W356&gt;=500000,W356&lt;600000),"R$500.000 - R$600.000",IF(AND(W356&gt;=600000,W356&lt;700000),"R$600.000 - R$700.000",IF(AND(W356&gt;=700000,W356&lt;800000),"R$700.000 - R$800.000",IF(AND(W356&gt;=800000,W356&lt;900000),"R$800.000 - R$900.000","Superior a R$900.000")))))))))</f>
        <v>R$400.000 - R$500.000</v>
      </c>
      <c r="Y356" s="6">
        <f t="shared" si="169"/>
        <v>494910</v>
      </c>
      <c r="Z356" s="3" t="str">
        <f>IF(Y356&lt;100000,"abaixo de R$100.000",IF(AND(Y356&gt;=100000,Y356&lt;200000),"R$100.000 - R$200.000",IF(AND(Y356&gt;=200000,Y356&lt;300000),"R$200.000 - R$300.000",IF(AND(Y356&gt;=300000,Y356&lt;400000),"R$300.000 - R$400.000",IF(AND(Y356&gt;=400000,Y356&lt;500000),"R$400.000 - R$500.000",IF(AND(Y356&gt;=500000,Y356&lt;600000),"R$500.000 - R$600.000",IF(AND(Y356&gt;=600000,Y356&lt;700000),"R$600.000 - R$700.000",IF(AND(Y356&gt;=700000,Y356&lt;800000),"R$700.000 - R$800.000",IF(AND(Y356&gt;=800000,Y356&lt;900000),"R$800.000 - R$900.000","Superior a R$900.000")))))))))</f>
        <v>R$400.000 - R$500.000</v>
      </c>
    </row>
    <row r="357">
      <c r="A357" s="1">
        <v>128509.0</v>
      </c>
      <c r="B357" s="1" t="s">
        <v>1318</v>
      </c>
      <c r="C357" s="1" t="s">
        <v>1319</v>
      </c>
      <c r="D357" s="1" t="s">
        <v>28</v>
      </c>
      <c r="E357" s="1">
        <v>0.0</v>
      </c>
      <c r="F357" s="1">
        <v>0.0</v>
      </c>
      <c r="G357" s="1" t="s">
        <v>75</v>
      </c>
      <c r="H357" s="1" t="s">
        <v>1320</v>
      </c>
      <c r="I357" s="1" t="s">
        <v>1321</v>
      </c>
      <c r="J357" s="1" t="s">
        <v>77</v>
      </c>
      <c r="K357" s="3"/>
      <c r="L357" s="1" t="s">
        <v>32</v>
      </c>
      <c r="M357" s="1" t="s">
        <v>69</v>
      </c>
      <c r="N357" s="3"/>
      <c r="O357" s="1" t="s">
        <v>140</v>
      </c>
      <c r="P357" s="1" t="s">
        <v>53</v>
      </c>
      <c r="Q357" s="1" t="s">
        <v>36</v>
      </c>
      <c r="R357" s="1" t="s">
        <v>35</v>
      </c>
      <c r="S357" s="4" t="s">
        <v>63</v>
      </c>
      <c r="T357" s="1" t="s">
        <v>149</v>
      </c>
      <c r="U357" s="5"/>
      <c r="V357" s="5"/>
      <c r="W357" s="6"/>
      <c r="X357" s="6"/>
      <c r="Y357" s="6"/>
      <c r="Z357" s="3"/>
    </row>
    <row r="358">
      <c r="A358" s="1">
        <v>107150.0</v>
      </c>
      <c r="B358" s="1" t="s">
        <v>1322</v>
      </c>
      <c r="C358" s="1" t="s">
        <v>1323</v>
      </c>
      <c r="D358" s="1" t="s">
        <v>28</v>
      </c>
      <c r="E358" s="2">
        <v>35000.0</v>
      </c>
      <c r="F358" s="2">
        <v>45000.0</v>
      </c>
      <c r="G358" s="1" t="s">
        <v>29</v>
      </c>
      <c r="H358" s="1" t="s">
        <v>1324</v>
      </c>
      <c r="I358" s="1" t="s">
        <v>1175</v>
      </c>
      <c r="J358" s="1" t="s">
        <v>50</v>
      </c>
      <c r="K358" s="3"/>
      <c r="L358" s="1" t="s">
        <v>51</v>
      </c>
      <c r="M358" s="1" t="s">
        <v>52</v>
      </c>
      <c r="N358" s="1">
        <v>60000.0</v>
      </c>
      <c r="O358" s="1" t="s">
        <v>104</v>
      </c>
      <c r="P358" s="1" t="s">
        <v>35</v>
      </c>
      <c r="Q358" s="1" t="s">
        <v>54</v>
      </c>
      <c r="R358" s="1" t="s">
        <v>35</v>
      </c>
      <c r="S358" s="4" t="s">
        <v>63</v>
      </c>
      <c r="T358" s="1" t="s">
        <v>1325</v>
      </c>
      <c r="U358" s="5">
        <f t="shared" ref="U358:U362" si="171">(F358/E358)-1</f>
        <v>0.2857142857</v>
      </c>
      <c r="V358" s="5">
        <f t="shared" ref="V358:V362" si="172">ROUNDDOWN(N358/E358,0)</f>
        <v>1</v>
      </c>
      <c r="W358" s="6">
        <f t="shared" ref="W358:W362" si="173">13.33*E358+N358</f>
        <v>526550</v>
      </c>
      <c r="X358" s="6" t="str">
        <f t="shared" ref="X358:X362" si="174">IF(W358&lt;100000,"abaixo de R$100.000",IF(AND(W358&gt;=100000,W358&lt;200000),"R$100.000 - R$200.000",IF(AND(W358&gt;=200000,W358&lt;300000),"R$200.000 - R$300.000",IF(AND(W358&gt;=300000,W358&lt;400000),"R$300.000 - R$400.000",IF(AND(W358&gt;=400000,W358&lt;500000),"R$400.000 - R$500.000",IF(AND(W358&gt;=500000,W358&lt;600000),"R$500.000 - R$600.000",IF(AND(W358&gt;=600000,W358&lt;700000),"R$600.000 - R$700.000",IF(AND(W358&gt;=700000,W358&lt;800000),"R$700.000 - R$800.000",IF(AND(W358&gt;=800000,W358&lt;900000),"R$800.000 - R$900.000","Superior a R$900.000")))))))))</f>
        <v>R$500.000 - R$600.000</v>
      </c>
      <c r="Y358" s="6">
        <f t="shared" ref="Y358:Y362" si="175">W358+(W358*U358)</f>
        <v>676992.8571</v>
      </c>
      <c r="Z358" s="3" t="str">
        <f t="shared" ref="Z358:Z362" si="176">IF(Y358&lt;100000,"abaixo de R$100.000",IF(AND(Y358&gt;=100000,Y358&lt;200000),"R$100.000 - R$200.000",IF(AND(Y358&gt;=200000,Y358&lt;300000),"R$200.000 - R$300.000",IF(AND(Y358&gt;=300000,Y358&lt;400000),"R$300.000 - R$400.000",IF(AND(Y358&gt;=400000,Y358&lt;500000),"R$400.000 - R$500.000",IF(AND(Y358&gt;=500000,Y358&lt;600000),"R$500.000 - R$600.000",IF(AND(Y358&gt;=600000,Y358&lt;700000),"R$600.000 - R$700.000",IF(AND(Y358&gt;=700000,Y358&lt;800000),"R$700.000 - R$800.000",IF(AND(Y358&gt;=800000,Y358&lt;900000),"R$800.000 - R$900.000","Superior a R$900.000")))))))))</f>
        <v>R$600.000 - R$700.000</v>
      </c>
    </row>
    <row r="359">
      <c r="A359" s="1">
        <v>222351.0</v>
      </c>
      <c r="B359" s="1" t="s">
        <v>1326</v>
      </c>
      <c r="C359" s="1" t="s">
        <v>1327</v>
      </c>
      <c r="D359" s="1" t="s">
        <v>28</v>
      </c>
      <c r="E359" s="2">
        <v>25000.0</v>
      </c>
      <c r="F359" s="2">
        <v>30000.0</v>
      </c>
      <c r="G359" s="1" t="s">
        <v>29</v>
      </c>
      <c r="I359" s="1" t="s">
        <v>1328</v>
      </c>
      <c r="J359" s="1" t="s">
        <v>77</v>
      </c>
      <c r="K359" s="3"/>
      <c r="L359" s="1" t="s">
        <v>32</v>
      </c>
      <c r="M359" s="1" t="s">
        <v>33</v>
      </c>
      <c r="N359" s="1">
        <v>240000.0</v>
      </c>
      <c r="O359" s="1" t="s">
        <v>218</v>
      </c>
      <c r="P359" s="1" t="s">
        <v>35</v>
      </c>
      <c r="Q359" s="1" t="s">
        <v>36</v>
      </c>
      <c r="R359" s="1" t="s">
        <v>35</v>
      </c>
      <c r="S359" s="4" t="s">
        <v>63</v>
      </c>
      <c r="T359" s="1" t="s">
        <v>1329</v>
      </c>
      <c r="U359" s="5">
        <f t="shared" si="171"/>
        <v>0.2</v>
      </c>
      <c r="V359" s="5">
        <f t="shared" si="172"/>
        <v>9</v>
      </c>
      <c r="W359" s="6">
        <f t="shared" si="173"/>
        <v>573250</v>
      </c>
      <c r="X359" s="6" t="str">
        <f t="shared" si="174"/>
        <v>R$500.000 - R$600.000</v>
      </c>
      <c r="Y359" s="6">
        <f t="shared" si="175"/>
        <v>687900</v>
      </c>
      <c r="Z359" s="3" t="str">
        <f t="shared" si="176"/>
        <v>R$600.000 - R$700.000</v>
      </c>
    </row>
    <row r="360">
      <c r="A360" s="1">
        <v>103145.0</v>
      </c>
      <c r="B360" s="1" t="s">
        <v>1330</v>
      </c>
      <c r="C360" s="1" t="s">
        <v>1331</v>
      </c>
      <c r="D360" s="1" t="s">
        <v>28</v>
      </c>
      <c r="E360" s="2">
        <v>26000.0</v>
      </c>
      <c r="F360" s="2">
        <v>30000.0</v>
      </c>
      <c r="G360" s="1" t="s">
        <v>29</v>
      </c>
      <c r="H360" s="1" t="s">
        <v>1332</v>
      </c>
      <c r="I360" s="1" t="s">
        <v>1333</v>
      </c>
      <c r="J360" s="1" t="s">
        <v>77</v>
      </c>
      <c r="K360" s="3"/>
      <c r="L360" s="1" t="s">
        <v>32</v>
      </c>
      <c r="M360" s="1" t="s">
        <v>52</v>
      </c>
      <c r="N360" s="1">
        <v>75000.0</v>
      </c>
      <c r="O360" s="1" t="s">
        <v>70</v>
      </c>
      <c r="P360" s="1" t="s">
        <v>53</v>
      </c>
      <c r="Q360" s="1" t="s">
        <v>54</v>
      </c>
      <c r="R360" s="1" t="s">
        <v>35</v>
      </c>
      <c r="S360" s="4" t="s">
        <v>63</v>
      </c>
      <c r="T360" s="1" t="s">
        <v>837</v>
      </c>
      <c r="U360" s="5">
        <f t="shared" si="171"/>
        <v>0.1538461538</v>
      </c>
      <c r="V360" s="5">
        <f t="shared" si="172"/>
        <v>2</v>
      </c>
      <c r="W360" s="6">
        <f t="shared" si="173"/>
        <v>421580</v>
      </c>
      <c r="X360" s="6" t="str">
        <f t="shared" si="174"/>
        <v>R$400.000 - R$500.000</v>
      </c>
      <c r="Y360" s="6">
        <f t="shared" si="175"/>
        <v>486438.4615</v>
      </c>
      <c r="Z360" s="3" t="str">
        <f t="shared" si="176"/>
        <v>R$400.000 - R$500.000</v>
      </c>
    </row>
    <row r="361">
      <c r="A361" s="1">
        <v>217432.0</v>
      </c>
      <c r="B361" s="1" t="s">
        <v>1334</v>
      </c>
      <c r="C361" s="1" t="s">
        <v>1335</v>
      </c>
      <c r="D361" s="1" t="s">
        <v>28</v>
      </c>
      <c r="E361" s="2">
        <v>38000.0</v>
      </c>
      <c r="F361" s="2">
        <v>40000.0</v>
      </c>
      <c r="G361" s="1" t="s">
        <v>29</v>
      </c>
      <c r="H361" s="1" t="s">
        <v>1332</v>
      </c>
      <c r="I361" s="1" t="s">
        <v>1175</v>
      </c>
      <c r="J361" s="1" t="s">
        <v>50</v>
      </c>
      <c r="K361" s="3"/>
      <c r="L361" s="1" t="s">
        <v>32</v>
      </c>
      <c r="M361" s="1" t="s">
        <v>52</v>
      </c>
      <c r="N361" s="1">
        <v>250000.0</v>
      </c>
      <c r="O361" s="1" t="s">
        <v>62</v>
      </c>
      <c r="P361" s="1" t="s">
        <v>53</v>
      </c>
      <c r="Q361" s="1" t="s">
        <v>54</v>
      </c>
      <c r="R361" s="1" t="s">
        <v>35</v>
      </c>
      <c r="S361" s="4" t="s">
        <v>63</v>
      </c>
      <c r="T361" s="1" t="s">
        <v>1336</v>
      </c>
      <c r="U361" s="5">
        <f t="shared" si="171"/>
        <v>0.05263157895</v>
      </c>
      <c r="V361" s="5">
        <f t="shared" si="172"/>
        <v>6</v>
      </c>
      <c r="W361" s="6">
        <f t="shared" si="173"/>
        <v>756540</v>
      </c>
      <c r="X361" s="6" t="str">
        <f t="shared" si="174"/>
        <v>R$700.000 - R$800.000</v>
      </c>
      <c r="Y361" s="6">
        <f t="shared" si="175"/>
        <v>796357.8947</v>
      </c>
      <c r="Z361" s="3" t="str">
        <f t="shared" si="176"/>
        <v>R$700.000 - R$800.000</v>
      </c>
    </row>
    <row r="362">
      <c r="A362" s="1">
        <v>215789.0</v>
      </c>
      <c r="B362" s="1" t="s">
        <v>1337</v>
      </c>
      <c r="C362" s="1" t="s">
        <v>1338</v>
      </c>
      <c r="D362" s="1" t="s">
        <v>28</v>
      </c>
      <c r="E362" s="2">
        <v>35000.0</v>
      </c>
      <c r="F362" s="2">
        <v>35000.0</v>
      </c>
      <c r="G362" s="1" t="s">
        <v>29</v>
      </c>
      <c r="H362" s="1" t="s">
        <v>1339</v>
      </c>
      <c r="I362" s="1" t="s">
        <v>31</v>
      </c>
      <c r="J362" s="1" t="s">
        <v>31</v>
      </c>
      <c r="K362" s="3"/>
      <c r="L362" s="1" t="s">
        <v>32</v>
      </c>
      <c r="M362" s="1" t="s">
        <v>52</v>
      </c>
      <c r="N362" s="1">
        <v>5000.0</v>
      </c>
      <c r="O362" s="1" t="s">
        <v>650</v>
      </c>
      <c r="P362" s="1" t="s">
        <v>53</v>
      </c>
      <c r="Q362" s="1" t="s">
        <v>36</v>
      </c>
      <c r="R362" s="1" t="s">
        <v>35</v>
      </c>
      <c r="S362" s="4" t="s">
        <v>63</v>
      </c>
      <c r="T362" s="1" t="s">
        <v>136</v>
      </c>
      <c r="U362" s="5">
        <f t="shared" si="171"/>
        <v>0</v>
      </c>
      <c r="V362" s="5">
        <f t="shared" si="172"/>
        <v>0</v>
      </c>
      <c r="W362" s="6">
        <f t="shared" si="173"/>
        <v>471550</v>
      </c>
      <c r="X362" s="6" t="str">
        <f t="shared" si="174"/>
        <v>R$400.000 - R$500.000</v>
      </c>
      <c r="Y362" s="6">
        <f t="shared" si="175"/>
        <v>471550</v>
      </c>
      <c r="Z362" s="3" t="str">
        <f t="shared" si="176"/>
        <v>R$400.000 - R$500.000</v>
      </c>
    </row>
    <row r="363">
      <c r="A363" s="1">
        <v>127555.0</v>
      </c>
      <c r="B363" s="1" t="s">
        <v>1340</v>
      </c>
      <c r="C363" s="1" t="s">
        <v>1341</v>
      </c>
      <c r="D363" s="1" t="s">
        <v>28</v>
      </c>
      <c r="E363" s="1">
        <v>0.0</v>
      </c>
      <c r="F363" s="1">
        <v>0.0</v>
      </c>
      <c r="G363" s="1" t="s">
        <v>29</v>
      </c>
      <c r="H363" s="1" t="s">
        <v>1342</v>
      </c>
      <c r="I363" s="1" t="s">
        <v>212</v>
      </c>
      <c r="J363" s="1" t="s">
        <v>60</v>
      </c>
      <c r="K363" s="3"/>
      <c r="L363" s="1" t="s">
        <v>51</v>
      </c>
      <c r="M363" s="1" t="s">
        <v>33</v>
      </c>
      <c r="N363" s="3"/>
      <c r="O363" s="1" t="s">
        <v>984</v>
      </c>
      <c r="P363" s="1" t="s">
        <v>35</v>
      </c>
      <c r="Q363" s="1" t="s">
        <v>36</v>
      </c>
      <c r="R363" s="1" t="s">
        <v>35</v>
      </c>
      <c r="S363" s="4" t="s">
        <v>63</v>
      </c>
      <c r="T363" s="1" t="s">
        <v>951</v>
      </c>
      <c r="U363" s="5"/>
      <c r="V363" s="5"/>
      <c r="W363" s="6"/>
      <c r="X363" s="6"/>
      <c r="Y363" s="6"/>
      <c r="Z363" s="3"/>
    </row>
    <row r="364">
      <c r="A364" s="1">
        <v>109134.0</v>
      </c>
      <c r="B364" s="1" t="s">
        <v>1343</v>
      </c>
      <c r="C364" s="1" t="s">
        <v>1344</v>
      </c>
      <c r="D364" s="1" t="s">
        <v>28</v>
      </c>
      <c r="E364" s="2">
        <v>27000.0</v>
      </c>
      <c r="F364" s="2">
        <v>29500.0</v>
      </c>
      <c r="G364" s="1" t="s">
        <v>29</v>
      </c>
      <c r="H364" s="1" t="s">
        <v>1345</v>
      </c>
      <c r="I364" s="1" t="s">
        <v>1346</v>
      </c>
      <c r="J364" s="1" t="s">
        <v>50</v>
      </c>
      <c r="K364" s="3"/>
      <c r="L364" s="1" t="s">
        <v>51</v>
      </c>
      <c r="M364" s="1" t="s">
        <v>52</v>
      </c>
      <c r="N364" s="1">
        <v>75000.0</v>
      </c>
      <c r="O364" s="1" t="s">
        <v>280</v>
      </c>
      <c r="P364" s="1" t="s">
        <v>35</v>
      </c>
      <c r="Q364" s="1" t="s">
        <v>54</v>
      </c>
      <c r="R364" s="1" t="s">
        <v>35</v>
      </c>
      <c r="S364" s="4" t="s">
        <v>63</v>
      </c>
      <c r="T364" s="1" t="s">
        <v>1347</v>
      </c>
      <c r="U364" s="5">
        <f t="shared" ref="U364:U368" si="177">(F364/E364)-1</f>
        <v>0.09259259259</v>
      </c>
      <c r="V364" s="5">
        <f t="shared" ref="V364:V368" si="178">ROUNDDOWN(N364/E364,0)</f>
        <v>2</v>
      </c>
      <c r="W364" s="6">
        <f t="shared" ref="W364:W368" si="179">13.33*E364+N364</f>
        <v>434910</v>
      </c>
      <c r="X364" s="6" t="str">
        <f t="shared" ref="X364:X366" si="180">IF(W364&lt;100000,"abaixo de R$100.000",IF(AND(W364&gt;=100000,W364&lt;200000),"R$100.000 - R$200.000",IF(AND(W364&gt;=200000,W364&lt;300000),"R$200.000 - R$300.000",IF(AND(W364&gt;=300000,W364&lt;400000),"R$300.000 - R$400.000",IF(AND(W364&gt;=400000,W364&lt;500000),"R$400.000 - R$500.000",IF(AND(W364&gt;=500000,W364&lt;600000),"R$500.000 - R$600.000",IF(AND(W364&gt;=600000,W364&lt;700000),"R$600.000 - R$700.000",IF(AND(W364&gt;=700000,W364&lt;800000),"R$700.000 - R$800.000",IF(AND(W364&gt;=800000,W364&lt;900000),"R$800.000 - R$900.000","Superior a R$900.000")))))))))</f>
        <v>R$400.000 - R$500.000</v>
      </c>
      <c r="Y364" s="6">
        <f t="shared" ref="Y364:Y368" si="181">W364+(W364*U364)</f>
        <v>475179.4444</v>
      </c>
      <c r="Z364" s="3" t="str">
        <f t="shared" ref="Z364:Z366" si="182">IF(Y364&lt;100000,"abaixo de R$100.000",IF(AND(Y364&gt;=100000,Y364&lt;200000),"R$100.000 - R$200.000",IF(AND(Y364&gt;=200000,Y364&lt;300000),"R$200.000 - R$300.000",IF(AND(Y364&gt;=300000,Y364&lt;400000),"R$300.000 - R$400.000",IF(AND(Y364&gt;=400000,Y364&lt;500000),"R$400.000 - R$500.000",IF(AND(Y364&gt;=500000,Y364&lt;600000),"R$500.000 - R$600.000",IF(AND(Y364&gt;=600000,Y364&lt;700000),"R$600.000 - R$700.000",IF(AND(Y364&gt;=700000,Y364&lt;800000),"R$700.000 - R$800.000",IF(AND(Y364&gt;=800000,Y364&lt;900000),"R$800.000 - R$900.000","Superior a R$900.000")))))))))</f>
        <v>R$400.000 - R$500.000</v>
      </c>
    </row>
    <row r="365">
      <c r="A365" s="1">
        <v>222332.0</v>
      </c>
      <c r="B365" s="1" t="s">
        <v>1348</v>
      </c>
      <c r="C365" s="1" t="s">
        <v>1349</v>
      </c>
      <c r="D365" s="1" t="s">
        <v>28</v>
      </c>
      <c r="E365" s="2">
        <v>25000.0</v>
      </c>
      <c r="F365" s="2">
        <v>35000.0</v>
      </c>
      <c r="G365" s="1" t="s">
        <v>29</v>
      </c>
      <c r="H365" s="1" t="s">
        <v>1350</v>
      </c>
      <c r="I365" s="1" t="s">
        <v>1351</v>
      </c>
      <c r="J365" s="1" t="s">
        <v>60</v>
      </c>
      <c r="K365" s="3"/>
      <c r="L365" s="1" t="s">
        <v>51</v>
      </c>
      <c r="M365" s="1" t="s">
        <v>33</v>
      </c>
      <c r="N365" s="1">
        <v>225000.0</v>
      </c>
      <c r="O365" s="1" t="s">
        <v>34</v>
      </c>
      <c r="P365" s="1" t="s">
        <v>35</v>
      </c>
      <c r="Q365" s="1" t="s">
        <v>36</v>
      </c>
      <c r="R365" s="1" t="s">
        <v>35</v>
      </c>
      <c r="S365" s="4" t="s">
        <v>63</v>
      </c>
      <c r="T365" s="1" t="s">
        <v>1352</v>
      </c>
      <c r="U365" s="5">
        <f t="shared" si="177"/>
        <v>0.4</v>
      </c>
      <c r="V365" s="5">
        <f t="shared" si="178"/>
        <v>9</v>
      </c>
      <c r="W365" s="6">
        <f t="shared" si="179"/>
        <v>558250</v>
      </c>
      <c r="X365" s="6" t="str">
        <f t="shared" si="180"/>
        <v>R$500.000 - R$600.000</v>
      </c>
      <c r="Y365" s="6">
        <f t="shared" si="181"/>
        <v>781550</v>
      </c>
      <c r="Z365" s="3" t="str">
        <f t="shared" si="182"/>
        <v>R$700.000 - R$800.000</v>
      </c>
    </row>
    <row r="366">
      <c r="A366" s="1">
        <v>103613.0</v>
      </c>
      <c r="B366" s="1" t="s">
        <v>1353</v>
      </c>
      <c r="C366" s="1" t="s">
        <v>829</v>
      </c>
      <c r="D366" s="1" t="s">
        <v>28</v>
      </c>
      <c r="E366" s="2">
        <v>47000.0</v>
      </c>
      <c r="F366" s="2">
        <v>50000.0</v>
      </c>
      <c r="G366" s="1" t="s">
        <v>29</v>
      </c>
      <c r="H366" s="1" t="s">
        <v>1354</v>
      </c>
      <c r="I366" s="1" t="s">
        <v>1355</v>
      </c>
      <c r="J366" s="1" t="s">
        <v>31</v>
      </c>
      <c r="K366" s="3"/>
      <c r="L366" s="1" t="s">
        <v>51</v>
      </c>
      <c r="M366" s="1" t="s">
        <v>33</v>
      </c>
      <c r="N366" s="1">
        <v>300000.0</v>
      </c>
      <c r="O366" s="1" t="s">
        <v>78</v>
      </c>
      <c r="P366" s="1" t="s">
        <v>35</v>
      </c>
      <c r="Q366" s="1" t="s">
        <v>36</v>
      </c>
      <c r="R366" s="1" t="s">
        <v>35</v>
      </c>
      <c r="S366" s="4" t="s">
        <v>63</v>
      </c>
      <c r="T366" s="1" t="s">
        <v>396</v>
      </c>
      <c r="U366" s="5">
        <f t="shared" si="177"/>
        <v>0.06382978723</v>
      </c>
      <c r="V366" s="5">
        <f t="shared" si="178"/>
        <v>6</v>
      </c>
      <c r="W366" s="6">
        <f t="shared" si="179"/>
        <v>926510</v>
      </c>
      <c r="X366" s="6" t="str">
        <f t="shared" si="180"/>
        <v>Superior a R$900.000</v>
      </c>
      <c r="Y366" s="6">
        <f t="shared" si="181"/>
        <v>985648.9362</v>
      </c>
      <c r="Z366" s="3" t="str">
        <f t="shared" si="182"/>
        <v>Superior a R$900.000</v>
      </c>
    </row>
    <row r="367">
      <c r="A367" s="1">
        <v>108730.0</v>
      </c>
      <c r="B367" s="1" t="s">
        <v>1356</v>
      </c>
      <c r="C367" s="1" t="s">
        <v>1357</v>
      </c>
      <c r="D367" s="1" t="s">
        <v>28</v>
      </c>
      <c r="E367" s="2">
        <v>27000.0</v>
      </c>
      <c r="F367" s="2">
        <f>E367*1.12</f>
        <v>30240</v>
      </c>
      <c r="G367" s="1" t="s">
        <v>29</v>
      </c>
      <c r="H367" s="1" t="s">
        <v>1358</v>
      </c>
      <c r="I367" s="1" t="s">
        <v>99</v>
      </c>
      <c r="J367" s="1" t="s">
        <v>31</v>
      </c>
      <c r="K367" s="3"/>
      <c r="L367" s="1" t="s">
        <v>32</v>
      </c>
      <c r="M367" s="1" t="s">
        <v>52</v>
      </c>
      <c r="N367" s="1">
        <v>2500.0</v>
      </c>
      <c r="O367" s="1" t="s">
        <v>280</v>
      </c>
      <c r="P367" s="1" t="s">
        <v>35</v>
      </c>
      <c r="Q367" s="1" t="s">
        <v>36</v>
      </c>
      <c r="R367" s="1" t="s">
        <v>35</v>
      </c>
      <c r="S367" s="4" t="s">
        <v>63</v>
      </c>
      <c r="T367" s="1" t="s">
        <v>396</v>
      </c>
      <c r="U367" s="5">
        <f t="shared" si="177"/>
        <v>0.12</v>
      </c>
      <c r="V367" s="5">
        <f t="shared" si="178"/>
        <v>0</v>
      </c>
      <c r="W367" s="6">
        <f t="shared" si="179"/>
        <v>362410</v>
      </c>
      <c r="X367" s="6"/>
      <c r="Y367" s="6">
        <f t="shared" si="181"/>
        <v>405899.2</v>
      </c>
      <c r="Z367" s="3"/>
    </row>
    <row r="368">
      <c r="A368" s="1">
        <v>218986.0</v>
      </c>
      <c r="B368" s="1" t="s">
        <v>1359</v>
      </c>
      <c r="C368" s="1" t="s">
        <v>1360</v>
      </c>
      <c r="D368" s="1" t="s">
        <v>28</v>
      </c>
      <c r="E368" s="2">
        <v>12000.0</v>
      </c>
      <c r="F368" s="2">
        <v>15000.0</v>
      </c>
      <c r="G368" s="1" t="s">
        <v>29</v>
      </c>
      <c r="I368" s="1" t="s">
        <v>118</v>
      </c>
      <c r="J368" s="1" t="s">
        <v>77</v>
      </c>
      <c r="K368" s="3"/>
      <c r="L368" s="1" t="s">
        <v>51</v>
      </c>
      <c r="M368" s="1" t="s">
        <v>33</v>
      </c>
      <c r="N368" s="1">
        <v>25000.0</v>
      </c>
      <c r="O368" s="1" t="s">
        <v>171</v>
      </c>
      <c r="P368" s="1" t="s">
        <v>35</v>
      </c>
      <c r="Q368" s="1" t="s">
        <v>36</v>
      </c>
      <c r="R368" s="1" t="s">
        <v>35</v>
      </c>
      <c r="S368" s="4" t="s">
        <v>63</v>
      </c>
      <c r="T368" s="1" t="s">
        <v>351</v>
      </c>
      <c r="U368" s="5">
        <f t="shared" si="177"/>
        <v>0.25</v>
      </c>
      <c r="V368" s="5">
        <f t="shared" si="178"/>
        <v>2</v>
      </c>
      <c r="W368" s="6">
        <f t="shared" si="179"/>
        <v>184960</v>
      </c>
      <c r="X368" s="6"/>
      <c r="Y368" s="6">
        <f t="shared" si="181"/>
        <v>231200</v>
      </c>
      <c r="Z368" s="3"/>
    </row>
    <row r="369">
      <c r="A369" s="1">
        <v>222654.0</v>
      </c>
      <c r="B369" s="1" t="s">
        <v>1361</v>
      </c>
      <c r="C369" s="1" t="s">
        <v>1362</v>
      </c>
      <c r="D369" s="1" t="s">
        <v>28</v>
      </c>
      <c r="E369" s="1">
        <v>0.0</v>
      </c>
      <c r="F369" s="1">
        <v>0.0</v>
      </c>
      <c r="G369" s="1" t="s">
        <v>29</v>
      </c>
      <c r="H369" s="1" t="s">
        <v>1363</v>
      </c>
      <c r="I369" s="1" t="s">
        <v>1364</v>
      </c>
      <c r="J369" s="1" t="s">
        <v>77</v>
      </c>
      <c r="K369" s="3"/>
      <c r="L369" s="1" t="s">
        <v>32</v>
      </c>
      <c r="M369" s="1" t="s">
        <v>33</v>
      </c>
      <c r="N369" s="6"/>
      <c r="O369" s="1" t="s">
        <v>34</v>
      </c>
      <c r="P369" s="1" t="s">
        <v>35</v>
      </c>
      <c r="Q369" s="1" t="s">
        <v>54</v>
      </c>
      <c r="R369" s="1" t="s">
        <v>35</v>
      </c>
      <c r="S369" s="4" t="s">
        <v>63</v>
      </c>
      <c r="T369" s="1" t="s">
        <v>1365</v>
      </c>
      <c r="U369" s="5"/>
      <c r="V369" s="5"/>
      <c r="W369" s="6"/>
      <c r="X369" s="6"/>
      <c r="Y369" s="6"/>
      <c r="Z369" s="3"/>
    </row>
    <row r="370">
      <c r="A370" s="1">
        <v>222497.0</v>
      </c>
      <c r="B370" s="1" t="s">
        <v>1366</v>
      </c>
      <c r="C370" s="1" t="s">
        <v>1367</v>
      </c>
      <c r="D370" s="1" t="s">
        <v>28</v>
      </c>
      <c r="E370" s="1">
        <v>0.0</v>
      </c>
      <c r="F370" s="1">
        <v>0.0</v>
      </c>
      <c r="G370" s="1" t="s">
        <v>75</v>
      </c>
      <c r="H370" s="1" t="s">
        <v>1363</v>
      </c>
      <c r="I370" s="1" t="s">
        <v>598</v>
      </c>
      <c r="J370" s="1" t="s">
        <v>77</v>
      </c>
      <c r="K370" s="3"/>
      <c r="L370" s="1" t="s">
        <v>32</v>
      </c>
      <c r="M370" s="1" t="s">
        <v>52</v>
      </c>
      <c r="N370" s="3"/>
      <c r="O370" s="1" t="s">
        <v>44</v>
      </c>
      <c r="P370" s="1" t="s">
        <v>35</v>
      </c>
      <c r="Q370" s="1" t="s">
        <v>36</v>
      </c>
      <c r="R370" s="1" t="s">
        <v>35</v>
      </c>
      <c r="S370" s="4" t="s">
        <v>63</v>
      </c>
      <c r="T370" s="1" t="s">
        <v>505</v>
      </c>
      <c r="U370" s="5"/>
      <c r="V370" s="5"/>
      <c r="W370" s="6"/>
      <c r="X370" s="6"/>
      <c r="Y370" s="6"/>
      <c r="Z370" s="3"/>
    </row>
    <row r="371">
      <c r="A371" s="1">
        <v>210477.0</v>
      </c>
      <c r="B371" s="1" t="s">
        <v>1368</v>
      </c>
      <c r="C371" s="1" t="s">
        <v>1369</v>
      </c>
      <c r="D371" s="1" t="s">
        <v>28</v>
      </c>
      <c r="E371" s="1">
        <v>0.0</v>
      </c>
      <c r="F371" s="1">
        <v>0.0</v>
      </c>
      <c r="G371" s="1" t="s">
        <v>29</v>
      </c>
      <c r="H371" s="1" t="s">
        <v>1370</v>
      </c>
      <c r="I371" s="1" t="s">
        <v>1371</v>
      </c>
      <c r="J371" s="1" t="s">
        <v>77</v>
      </c>
      <c r="K371" s="3"/>
      <c r="L371" s="1" t="s">
        <v>51</v>
      </c>
      <c r="M371" s="1" t="s">
        <v>33</v>
      </c>
      <c r="N371" s="3"/>
      <c r="O371" s="1" t="s">
        <v>135</v>
      </c>
      <c r="P371" s="1" t="s">
        <v>53</v>
      </c>
      <c r="Q371" s="1" t="s">
        <v>54</v>
      </c>
      <c r="R371" s="1" t="s">
        <v>35</v>
      </c>
      <c r="S371" s="4" t="s">
        <v>63</v>
      </c>
      <c r="T371" s="1" t="s">
        <v>1372</v>
      </c>
      <c r="U371" s="5"/>
      <c r="V371" s="5"/>
      <c r="W371" s="6"/>
      <c r="X371" s="6"/>
      <c r="Y371" s="6"/>
      <c r="Z371" s="3"/>
    </row>
    <row r="372">
      <c r="A372" s="1">
        <v>209705.0</v>
      </c>
      <c r="B372" s="1" t="s">
        <v>1373</v>
      </c>
      <c r="C372" s="1" t="s">
        <v>1374</v>
      </c>
      <c r="D372" s="1" t="s">
        <v>28</v>
      </c>
      <c r="E372" s="2">
        <v>28000.0</v>
      </c>
      <c r="F372" s="2">
        <f>E372*1.12</f>
        <v>31360</v>
      </c>
      <c r="G372" s="1" t="s">
        <v>29</v>
      </c>
      <c r="H372" s="1" t="s">
        <v>1375</v>
      </c>
      <c r="I372" s="1" t="s">
        <v>31</v>
      </c>
      <c r="J372" s="1" t="s">
        <v>31</v>
      </c>
      <c r="K372" s="3"/>
      <c r="L372" s="1" t="s">
        <v>32</v>
      </c>
      <c r="M372" s="1" t="s">
        <v>52</v>
      </c>
      <c r="N372" s="1">
        <v>20000.0</v>
      </c>
      <c r="O372" s="1" t="s">
        <v>78</v>
      </c>
      <c r="P372" s="1" t="s">
        <v>35</v>
      </c>
      <c r="Q372" s="1" t="s">
        <v>36</v>
      </c>
      <c r="R372" s="1" t="s">
        <v>35</v>
      </c>
      <c r="S372" s="4" t="s">
        <v>63</v>
      </c>
      <c r="T372" s="1" t="s">
        <v>1376</v>
      </c>
      <c r="U372" s="5">
        <f>(F372/E372)-1</f>
        <v>0.12</v>
      </c>
      <c r="V372" s="5">
        <f>ROUNDDOWN(N372/E372,0)</f>
        <v>0</v>
      </c>
      <c r="W372" s="6">
        <f>13.33*E372+N372</f>
        <v>393240</v>
      </c>
      <c r="X372" s="6"/>
      <c r="Y372" s="6">
        <f>W372+(W372*U372)</f>
        <v>440428.8</v>
      </c>
      <c r="Z372" s="3"/>
    </row>
    <row r="373">
      <c r="A373" s="1">
        <v>102932.0</v>
      </c>
      <c r="B373" s="1" t="s">
        <v>1377</v>
      </c>
      <c r="C373" s="1" t="s">
        <v>1378</v>
      </c>
      <c r="D373" s="1" t="s">
        <v>28</v>
      </c>
      <c r="E373" s="1">
        <v>0.0</v>
      </c>
      <c r="F373" s="1">
        <v>0.0</v>
      </c>
      <c r="G373" s="1" t="s">
        <v>29</v>
      </c>
      <c r="H373" s="1" t="s">
        <v>1379</v>
      </c>
      <c r="I373" s="1" t="s">
        <v>1380</v>
      </c>
      <c r="J373" s="1" t="s">
        <v>77</v>
      </c>
      <c r="K373" s="1" t="s">
        <v>268</v>
      </c>
      <c r="L373" s="1" t="s">
        <v>61</v>
      </c>
      <c r="M373" s="1" t="s">
        <v>33</v>
      </c>
      <c r="N373" s="6"/>
      <c r="O373" s="1" t="s">
        <v>178</v>
      </c>
      <c r="P373" s="1" t="s">
        <v>53</v>
      </c>
      <c r="Q373" s="1" t="s">
        <v>36</v>
      </c>
      <c r="R373" s="1" t="s">
        <v>35</v>
      </c>
      <c r="S373" s="4" t="s">
        <v>63</v>
      </c>
      <c r="T373" s="1" t="s">
        <v>223</v>
      </c>
      <c r="U373" s="5"/>
      <c r="V373" s="5"/>
      <c r="W373" s="6"/>
      <c r="X373" s="6"/>
      <c r="Y373" s="6"/>
      <c r="Z373" s="3"/>
    </row>
    <row r="374">
      <c r="A374" s="1">
        <v>221135.0</v>
      </c>
      <c r="B374" s="1" t="s">
        <v>1381</v>
      </c>
      <c r="C374" s="1" t="s">
        <v>1382</v>
      </c>
      <c r="D374" s="1" t="s">
        <v>28</v>
      </c>
      <c r="E374" s="2">
        <v>20000.0</v>
      </c>
      <c r="F374" s="2">
        <f>E374*1.15</f>
        <v>23000</v>
      </c>
      <c r="G374" s="1" t="s">
        <v>75</v>
      </c>
      <c r="H374" s="1" t="s">
        <v>1383</v>
      </c>
      <c r="I374" s="1" t="s">
        <v>31</v>
      </c>
      <c r="J374" s="1" t="s">
        <v>31</v>
      </c>
      <c r="K374" s="3"/>
      <c r="L374" s="1" t="s">
        <v>51</v>
      </c>
      <c r="M374" s="1" t="s">
        <v>33</v>
      </c>
      <c r="N374" s="1">
        <v>100000.0</v>
      </c>
      <c r="O374" s="1" t="s">
        <v>178</v>
      </c>
      <c r="P374" s="1" t="s">
        <v>53</v>
      </c>
      <c r="Q374" s="1" t="s">
        <v>36</v>
      </c>
      <c r="R374" s="1" t="s">
        <v>35</v>
      </c>
      <c r="S374" s="4" t="s">
        <v>63</v>
      </c>
      <c r="T374" s="1" t="s">
        <v>1384</v>
      </c>
      <c r="U374" s="5">
        <f t="shared" ref="U374:U375" si="183">(F374/E374)-1</f>
        <v>0.15</v>
      </c>
      <c r="V374" s="5">
        <f t="shared" ref="V374:V375" si="184">ROUNDDOWN(N374/E374,0)</f>
        <v>5</v>
      </c>
      <c r="W374" s="6">
        <f t="shared" ref="W374:W375" si="185">13.33*E374+N374</f>
        <v>366600</v>
      </c>
      <c r="X374" s="6"/>
      <c r="Y374" s="6">
        <f t="shared" ref="Y374:Y375" si="186">W374+(W374*U374)</f>
        <v>421590</v>
      </c>
      <c r="Z374" s="3"/>
    </row>
    <row r="375">
      <c r="A375" s="1">
        <v>110624.0</v>
      </c>
      <c r="B375" s="1" t="s">
        <v>1385</v>
      </c>
      <c r="C375" s="1" t="s">
        <v>1386</v>
      </c>
      <c r="D375" s="1" t="s">
        <v>28</v>
      </c>
      <c r="E375" s="2">
        <v>46400.0</v>
      </c>
      <c r="F375" s="2">
        <v>50000.0</v>
      </c>
      <c r="G375" s="1" t="s">
        <v>29</v>
      </c>
      <c r="H375" s="1" t="s">
        <v>1387</v>
      </c>
      <c r="I375" s="1" t="s">
        <v>99</v>
      </c>
      <c r="J375" s="1" t="s">
        <v>31</v>
      </c>
      <c r="K375" s="3"/>
      <c r="L375" s="1" t="s">
        <v>43</v>
      </c>
      <c r="M375" s="1" t="s">
        <v>33</v>
      </c>
      <c r="N375" s="1">
        <v>312000.0</v>
      </c>
      <c r="O375" s="1" t="s">
        <v>119</v>
      </c>
      <c r="P375" s="1" t="s">
        <v>53</v>
      </c>
      <c r="Q375" s="1" t="s">
        <v>36</v>
      </c>
      <c r="R375" s="1" t="s">
        <v>35</v>
      </c>
      <c r="S375" s="4" t="s">
        <v>63</v>
      </c>
      <c r="T375" s="1" t="s">
        <v>141</v>
      </c>
      <c r="U375" s="5">
        <f t="shared" si="183"/>
        <v>0.0775862069</v>
      </c>
      <c r="V375" s="5">
        <f t="shared" si="184"/>
        <v>6</v>
      </c>
      <c r="W375" s="6">
        <f t="shared" si="185"/>
        <v>930512</v>
      </c>
      <c r="X375" s="6" t="str">
        <f>IF(W375&lt;100000,"abaixo de R$100.000",IF(AND(W375&gt;=100000,W375&lt;200000),"R$100.000 - R$200.000",IF(AND(W375&gt;=200000,W375&lt;300000),"R$200.000 - R$300.000",IF(AND(W375&gt;=300000,W375&lt;400000),"R$300.000 - R$400.000",IF(AND(W375&gt;=400000,W375&lt;500000),"R$400.000 - R$500.000",IF(AND(W375&gt;=500000,W375&lt;600000),"R$500.000 - R$600.000",IF(AND(W375&gt;=600000,W375&lt;700000),"R$600.000 - R$700.000",IF(AND(W375&gt;=700000,W375&lt;800000),"R$700.000 - R$800.000",IF(AND(W375&gt;=800000,W375&lt;900000),"R$800.000 - R$900.000","Superior a R$900.000")))))))))</f>
        <v>Superior a R$900.000</v>
      </c>
      <c r="Y375" s="6">
        <f t="shared" si="186"/>
        <v>1002706.897</v>
      </c>
      <c r="Z375" s="3" t="str">
        <f>IF(Y375&lt;100000,"abaixo de R$100.000",IF(AND(Y375&gt;=100000,Y375&lt;200000),"R$100.000 - R$200.000",IF(AND(Y375&gt;=200000,Y375&lt;300000),"R$200.000 - R$300.000",IF(AND(Y375&gt;=300000,Y375&lt;400000),"R$300.000 - R$400.000",IF(AND(Y375&gt;=400000,Y375&lt;500000),"R$400.000 - R$500.000",IF(AND(Y375&gt;=500000,Y375&lt;600000),"R$500.000 - R$600.000",IF(AND(Y375&gt;=600000,Y375&lt;700000),"R$600.000 - R$700.000",IF(AND(Y375&gt;=700000,Y375&lt;800000),"R$700.000 - R$800.000",IF(AND(Y375&gt;=800000,Y375&lt;900000),"R$800.000 - R$900.000","Superior a R$900.000")))))))))</f>
        <v>Superior a R$900.000</v>
      </c>
    </row>
    <row r="376">
      <c r="A376" s="1">
        <v>222843.0</v>
      </c>
      <c r="B376" s="1" t="s">
        <v>1388</v>
      </c>
      <c r="C376" s="2">
        <v>20000.0</v>
      </c>
      <c r="D376" s="1" t="s">
        <v>28</v>
      </c>
      <c r="E376" s="1">
        <v>0.0</v>
      </c>
      <c r="F376" s="1">
        <v>0.0</v>
      </c>
      <c r="G376" s="1" t="s">
        <v>29</v>
      </c>
      <c r="H376" s="1" t="s">
        <v>1387</v>
      </c>
      <c r="I376" s="1" t="s">
        <v>1389</v>
      </c>
      <c r="J376" s="1" t="s">
        <v>77</v>
      </c>
      <c r="K376" s="3"/>
      <c r="L376" s="1" t="s">
        <v>32</v>
      </c>
      <c r="M376" s="1" t="s">
        <v>33</v>
      </c>
      <c r="N376" s="6"/>
      <c r="O376" s="1" t="s">
        <v>34</v>
      </c>
      <c r="P376" s="1" t="s">
        <v>35</v>
      </c>
      <c r="Q376" s="1" t="s">
        <v>36</v>
      </c>
      <c r="R376" s="1" t="s">
        <v>35</v>
      </c>
      <c r="S376" s="4" t="s">
        <v>63</v>
      </c>
      <c r="T376" s="1" t="s">
        <v>105</v>
      </c>
      <c r="U376" s="5"/>
      <c r="V376" s="5"/>
      <c r="W376" s="6"/>
      <c r="X376" s="6"/>
      <c r="Y376" s="6"/>
      <c r="Z376" s="3"/>
    </row>
    <row r="377">
      <c r="A377" s="1">
        <v>222322.0</v>
      </c>
      <c r="B377" s="1" t="s">
        <v>1390</v>
      </c>
      <c r="C377" s="1" t="s">
        <v>1391</v>
      </c>
      <c r="D377" s="1" t="s">
        <v>28</v>
      </c>
      <c r="E377" s="2">
        <v>15000.0</v>
      </c>
      <c r="F377" s="2">
        <v>15000.0</v>
      </c>
      <c r="G377" s="1" t="s">
        <v>29</v>
      </c>
      <c r="H377" s="1" t="s">
        <v>1387</v>
      </c>
      <c r="I377" s="1" t="s">
        <v>60</v>
      </c>
      <c r="J377" s="1" t="s">
        <v>60</v>
      </c>
      <c r="K377" s="3"/>
      <c r="L377" s="1" t="s">
        <v>51</v>
      </c>
      <c r="M377" s="1" t="s">
        <v>33</v>
      </c>
      <c r="N377" s="1">
        <v>5000.0</v>
      </c>
      <c r="O377" s="1" t="s">
        <v>650</v>
      </c>
      <c r="P377" s="1" t="s">
        <v>35</v>
      </c>
      <c r="Q377" s="1" t="s">
        <v>36</v>
      </c>
      <c r="R377" s="1" t="s">
        <v>35</v>
      </c>
      <c r="S377" s="4" t="s">
        <v>63</v>
      </c>
      <c r="T377" s="1" t="s">
        <v>1392</v>
      </c>
      <c r="U377" s="5">
        <f t="shared" ref="U377:U388" si="187">(F377/E377)-1</f>
        <v>0</v>
      </c>
      <c r="V377" s="5">
        <f t="shared" ref="V377:V388" si="188">ROUNDDOWN(N377/E377,0)</f>
        <v>0</v>
      </c>
      <c r="W377" s="6">
        <f t="shared" ref="W377:W388" si="189">13.33*E377+N377</f>
        <v>204950</v>
      </c>
      <c r="X377" s="6"/>
      <c r="Y377" s="6">
        <f t="shared" ref="Y377:Y388" si="190">W377+(W377*U377)</f>
        <v>204950</v>
      </c>
      <c r="Z377" s="3"/>
    </row>
    <row r="378">
      <c r="A378" s="1">
        <v>112761.0</v>
      </c>
      <c r="B378" s="1" t="s">
        <v>1393</v>
      </c>
      <c r="C378" s="1" t="s">
        <v>1394</v>
      </c>
      <c r="D378" s="1" t="s">
        <v>28</v>
      </c>
      <c r="E378" s="2">
        <v>37845.0</v>
      </c>
      <c r="F378" s="2">
        <v>50000.0</v>
      </c>
      <c r="G378" s="1" t="s">
        <v>29</v>
      </c>
      <c r="H378" s="1" t="s">
        <v>1395</v>
      </c>
      <c r="I378" s="1" t="s">
        <v>374</v>
      </c>
      <c r="J378" s="1" t="s">
        <v>31</v>
      </c>
      <c r="K378" s="1" t="s">
        <v>68</v>
      </c>
      <c r="L378" s="1" t="s">
        <v>51</v>
      </c>
      <c r="M378" s="1" t="s">
        <v>33</v>
      </c>
      <c r="N378" s="1">
        <v>113535.0</v>
      </c>
      <c r="O378" s="1" t="s">
        <v>199</v>
      </c>
      <c r="P378" s="1" t="s">
        <v>35</v>
      </c>
      <c r="Q378" s="1" t="s">
        <v>36</v>
      </c>
      <c r="R378" s="1" t="s">
        <v>35</v>
      </c>
      <c r="S378" s="4" t="s">
        <v>63</v>
      </c>
      <c r="T378" s="1" t="s">
        <v>261</v>
      </c>
      <c r="U378" s="5">
        <f t="shared" si="187"/>
        <v>0.3211784912</v>
      </c>
      <c r="V378" s="5">
        <f t="shared" si="188"/>
        <v>3</v>
      </c>
      <c r="W378" s="6">
        <f t="shared" si="189"/>
        <v>618008.85</v>
      </c>
      <c r="X378" s="6" t="str">
        <f t="shared" ref="X378:X388" si="191">IF(W378&lt;100000,"abaixo de R$100.000",IF(AND(W378&gt;=100000,W378&lt;200000),"R$100.000 - R$200.000",IF(AND(W378&gt;=200000,W378&lt;300000),"R$200.000 - R$300.000",IF(AND(W378&gt;=300000,W378&lt;400000),"R$300.000 - R$400.000",IF(AND(W378&gt;=400000,W378&lt;500000),"R$400.000 - R$500.000",IF(AND(W378&gt;=500000,W378&lt;600000),"R$500.000 - R$600.000",IF(AND(W378&gt;=600000,W378&lt;700000),"R$600.000 - R$700.000",IF(AND(W378&gt;=700000,W378&lt;800000),"R$700.000 - R$800.000",IF(AND(W378&gt;=800000,W378&lt;900000),"R$800.000 - R$900.000","Superior a R$900.000")))))))))</f>
        <v>R$600.000 - R$700.000</v>
      </c>
      <c r="Y378" s="6">
        <f t="shared" si="190"/>
        <v>816500</v>
      </c>
      <c r="Z378" s="3" t="str">
        <f t="shared" ref="Z378:Z388" si="192">IF(Y378&lt;100000,"abaixo de R$100.000",IF(AND(Y378&gt;=100000,Y378&lt;200000),"R$100.000 - R$200.000",IF(AND(Y378&gt;=200000,Y378&lt;300000),"R$200.000 - R$300.000",IF(AND(Y378&gt;=300000,Y378&lt;400000),"R$300.000 - R$400.000",IF(AND(Y378&gt;=400000,Y378&lt;500000),"R$400.000 - R$500.000",IF(AND(Y378&gt;=500000,Y378&lt;600000),"R$500.000 - R$600.000",IF(AND(Y378&gt;=600000,Y378&lt;700000),"R$600.000 - R$700.000",IF(AND(Y378&gt;=700000,Y378&lt;800000),"R$700.000 - R$800.000",IF(AND(Y378&gt;=800000,Y378&lt;900000),"R$800.000 - R$900.000","Superior a R$900.000")))))))))</f>
        <v>R$800.000 - R$900.000</v>
      </c>
    </row>
    <row r="379">
      <c r="A379" s="1">
        <v>104157.0</v>
      </c>
      <c r="B379" s="1" t="s">
        <v>1396</v>
      </c>
      <c r="C379" s="1" t="s">
        <v>1397</v>
      </c>
      <c r="D379" s="1" t="s">
        <v>28</v>
      </c>
      <c r="E379" s="2">
        <v>30000.0</v>
      </c>
      <c r="F379" s="2">
        <v>35000.0</v>
      </c>
      <c r="G379" s="1" t="s">
        <v>29</v>
      </c>
      <c r="H379" s="1" t="s">
        <v>1398</v>
      </c>
      <c r="I379" s="1" t="s">
        <v>339</v>
      </c>
      <c r="J379" s="1" t="s">
        <v>31</v>
      </c>
      <c r="K379" s="3"/>
      <c r="L379" s="1" t="s">
        <v>32</v>
      </c>
      <c r="M379" s="1" t="s">
        <v>33</v>
      </c>
      <c r="N379" s="1">
        <v>40000.0</v>
      </c>
      <c r="O379" s="1" t="s">
        <v>199</v>
      </c>
      <c r="P379" s="1" t="s">
        <v>35</v>
      </c>
      <c r="Q379" s="1" t="s">
        <v>36</v>
      </c>
      <c r="R379" s="1" t="s">
        <v>35</v>
      </c>
      <c r="S379" s="4" t="s">
        <v>63</v>
      </c>
      <c r="T379" s="1" t="s">
        <v>1399</v>
      </c>
      <c r="U379" s="5">
        <f t="shared" si="187"/>
        <v>0.1666666667</v>
      </c>
      <c r="V379" s="5">
        <f t="shared" si="188"/>
        <v>1</v>
      </c>
      <c r="W379" s="6">
        <f t="shared" si="189"/>
        <v>439900</v>
      </c>
      <c r="X379" s="6" t="str">
        <f t="shared" si="191"/>
        <v>R$400.000 - R$500.000</v>
      </c>
      <c r="Y379" s="6">
        <f t="shared" si="190"/>
        <v>513216.6667</v>
      </c>
      <c r="Z379" s="3" t="str">
        <f t="shared" si="192"/>
        <v>R$500.000 - R$600.000</v>
      </c>
    </row>
    <row r="380">
      <c r="A380" s="1">
        <v>132701.0</v>
      </c>
      <c r="B380" s="1" t="s">
        <v>1400</v>
      </c>
      <c r="C380" s="1" t="s">
        <v>1401</v>
      </c>
      <c r="D380" s="1" t="s">
        <v>28</v>
      </c>
      <c r="E380" s="2">
        <v>75000.0</v>
      </c>
      <c r="F380" s="2">
        <v>75000.0</v>
      </c>
      <c r="G380" s="1" t="s">
        <v>29</v>
      </c>
      <c r="H380" s="1" t="s">
        <v>1402</v>
      </c>
      <c r="I380" s="1" t="s">
        <v>1403</v>
      </c>
      <c r="J380" s="1" t="s">
        <v>50</v>
      </c>
      <c r="K380" s="1" t="s">
        <v>1404</v>
      </c>
      <c r="L380" s="1" t="s">
        <v>32</v>
      </c>
      <c r="M380" s="1" t="s">
        <v>33</v>
      </c>
      <c r="N380" s="1">
        <v>350000.0</v>
      </c>
      <c r="O380" s="1" t="s">
        <v>280</v>
      </c>
      <c r="P380" s="1" t="s">
        <v>35</v>
      </c>
      <c r="Q380" s="1" t="s">
        <v>36</v>
      </c>
      <c r="R380" s="1" t="s">
        <v>35</v>
      </c>
      <c r="S380" s="4" t="s">
        <v>381</v>
      </c>
      <c r="T380" s="1" t="s">
        <v>240</v>
      </c>
      <c r="U380" s="5">
        <f t="shared" si="187"/>
        <v>0</v>
      </c>
      <c r="V380" s="5">
        <f t="shared" si="188"/>
        <v>4</v>
      </c>
      <c r="W380" s="6">
        <f t="shared" si="189"/>
        <v>1349750</v>
      </c>
      <c r="X380" s="6" t="str">
        <f t="shared" si="191"/>
        <v>Superior a R$900.000</v>
      </c>
      <c r="Y380" s="6">
        <f t="shared" si="190"/>
        <v>1349750</v>
      </c>
      <c r="Z380" s="3" t="str">
        <f t="shared" si="192"/>
        <v>Superior a R$900.000</v>
      </c>
    </row>
    <row r="381">
      <c r="A381" s="1">
        <v>117691.0</v>
      </c>
      <c r="B381" s="1" t="s">
        <v>1405</v>
      </c>
      <c r="C381" s="1" t="s">
        <v>1406</v>
      </c>
      <c r="D381" s="1" t="s">
        <v>28</v>
      </c>
      <c r="E381" s="2">
        <v>24000.0</v>
      </c>
      <c r="F381" s="2">
        <v>30000.0</v>
      </c>
      <c r="G381" s="1" t="s">
        <v>29</v>
      </c>
      <c r="H381" s="3"/>
      <c r="I381" s="1" t="s">
        <v>1407</v>
      </c>
      <c r="J381" s="1" t="s">
        <v>60</v>
      </c>
      <c r="K381" s="3"/>
      <c r="L381" s="1" t="s">
        <v>51</v>
      </c>
      <c r="M381" s="1" t="s">
        <v>52</v>
      </c>
      <c r="N381" s="1">
        <v>120000.0</v>
      </c>
      <c r="O381" s="1" t="s">
        <v>171</v>
      </c>
      <c r="P381" s="1" t="s">
        <v>53</v>
      </c>
      <c r="Q381" s="1" t="s">
        <v>36</v>
      </c>
      <c r="R381" s="1" t="s">
        <v>35</v>
      </c>
      <c r="S381" s="4" t="s">
        <v>63</v>
      </c>
      <c r="T381" s="1" t="s">
        <v>261</v>
      </c>
      <c r="U381" s="5">
        <f t="shared" si="187"/>
        <v>0.25</v>
      </c>
      <c r="V381" s="5">
        <f t="shared" si="188"/>
        <v>5</v>
      </c>
      <c r="W381" s="6">
        <f t="shared" si="189"/>
        <v>439920</v>
      </c>
      <c r="X381" s="6" t="str">
        <f t="shared" si="191"/>
        <v>R$400.000 - R$500.000</v>
      </c>
      <c r="Y381" s="6">
        <f t="shared" si="190"/>
        <v>549900</v>
      </c>
      <c r="Z381" s="3" t="str">
        <f t="shared" si="192"/>
        <v>R$500.000 - R$600.000</v>
      </c>
    </row>
    <row r="382">
      <c r="A382" s="1">
        <v>222524.0</v>
      </c>
      <c r="B382" s="1" t="s">
        <v>1408</v>
      </c>
      <c r="C382" s="1" t="s">
        <v>1409</v>
      </c>
      <c r="D382" s="1" t="s">
        <v>28</v>
      </c>
      <c r="E382" s="2">
        <v>25000.0</v>
      </c>
      <c r="F382" s="2">
        <v>25000.0</v>
      </c>
      <c r="G382" s="1" t="s">
        <v>75</v>
      </c>
      <c r="I382" s="1" t="s">
        <v>118</v>
      </c>
      <c r="J382" s="1" t="s">
        <v>77</v>
      </c>
      <c r="K382" s="3"/>
      <c r="L382" s="1" t="s">
        <v>32</v>
      </c>
      <c r="M382" s="1" t="s">
        <v>52</v>
      </c>
      <c r="N382" s="1">
        <v>100000.0</v>
      </c>
      <c r="O382" s="1" t="s">
        <v>199</v>
      </c>
      <c r="P382" s="1" t="s">
        <v>53</v>
      </c>
      <c r="Q382" s="1" t="s">
        <v>36</v>
      </c>
      <c r="R382" s="1" t="s">
        <v>53</v>
      </c>
      <c r="S382" s="4" t="s">
        <v>63</v>
      </c>
      <c r="T382" s="1" t="s">
        <v>1410</v>
      </c>
      <c r="U382" s="5">
        <f t="shared" si="187"/>
        <v>0</v>
      </c>
      <c r="V382" s="5">
        <f t="shared" si="188"/>
        <v>4</v>
      </c>
      <c r="W382" s="6">
        <f t="shared" si="189"/>
        <v>433250</v>
      </c>
      <c r="X382" s="6" t="str">
        <f t="shared" si="191"/>
        <v>R$400.000 - R$500.000</v>
      </c>
      <c r="Y382" s="6">
        <f t="shared" si="190"/>
        <v>433250</v>
      </c>
      <c r="Z382" s="3" t="str">
        <f t="shared" si="192"/>
        <v>R$400.000 - R$500.000</v>
      </c>
    </row>
    <row r="383">
      <c r="A383" s="1">
        <v>222667.0</v>
      </c>
      <c r="B383" s="1" t="s">
        <v>1411</v>
      </c>
      <c r="C383" s="1">
        <v>30000.0</v>
      </c>
      <c r="D383" s="1" t="s">
        <v>28</v>
      </c>
      <c r="E383" s="2">
        <v>25000.0</v>
      </c>
      <c r="F383" s="2">
        <v>30000.0</v>
      </c>
      <c r="G383" s="1" t="s">
        <v>75</v>
      </c>
      <c r="I383" s="1" t="s">
        <v>1412</v>
      </c>
      <c r="J383" s="1" t="s">
        <v>60</v>
      </c>
      <c r="K383" s="3"/>
      <c r="L383" s="1" t="s">
        <v>51</v>
      </c>
      <c r="M383" s="1" t="s">
        <v>52</v>
      </c>
      <c r="N383" s="1">
        <v>80000.0</v>
      </c>
      <c r="O383" s="1" t="s">
        <v>280</v>
      </c>
      <c r="P383" s="1" t="s">
        <v>53</v>
      </c>
      <c r="Q383" s="1" t="s">
        <v>36</v>
      </c>
      <c r="R383" s="1" t="s">
        <v>35</v>
      </c>
      <c r="S383" s="4" t="s">
        <v>63</v>
      </c>
      <c r="T383" s="1" t="s">
        <v>1413</v>
      </c>
      <c r="U383" s="5">
        <f t="shared" si="187"/>
        <v>0.2</v>
      </c>
      <c r="V383" s="5">
        <f t="shared" si="188"/>
        <v>3</v>
      </c>
      <c r="W383" s="6">
        <f t="shared" si="189"/>
        <v>413250</v>
      </c>
      <c r="X383" s="6" t="str">
        <f t="shared" si="191"/>
        <v>R$400.000 - R$500.000</v>
      </c>
      <c r="Y383" s="6">
        <f t="shared" si="190"/>
        <v>495900</v>
      </c>
      <c r="Z383" s="3" t="str">
        <f t="shared" si="192"/>
        <v>R$400.000 - R$500.000</v>
      </c>
    </row>
    <row r="384">
      <c r="A384" s="1">
        <v>222513.0</v>
      </c>
      <c r="B384" s="1" t="s">
        <v>1414</v>
      </c>
      <c r="C384" s="1" t="s">
        <v>1415</v>
      </c>
      <c r="D384" s="1" t="s">
        <v>28</v>
      </c>
      <c r="E384" s="2">
        <v>28000.0</v>
      </c>
      <c r="F384" s="2">
        <v>36000.0</v>
      </c>
      <c r="G384" s="1" t="s">
        <v>75</v>
      </c>
      <c r="H384" s="3"/>
      <c r="I384" s="1" t="s">
        <v>1416</v>
      </c>
      <c r="J384" s="1" t="s">
        <v>77</v>
      </c>
      <c r="K384" s="3"/>
      <c r="L384" s="1" t="s">
        <v>51</v>
      </c>
      <c r="M384" s="1" t="s">
        <v>52</v>
      </c>
      <c r="N384" s="1">
        <v>56000.0</v>
      </c>
      <c r="O384" s="1" t="s">
        <v>62</v>
      </c>
      <c r="P384" s="1" t="s">
        <v>53</v>
      </c>
      <c r="Q384" s="1" t="s">
        <v>54</v>
      </c>
      <c r="R384" s="1" t="s">
        <v>35</v>
      </c>
      <c r="S384" s="4" t="s">
        <v>63</v>
      </c>
      <c r="T384" s="1" t="s">
        <v>1417</v>
      </c>
      <c r="U384" s="5">
        <f t="shared" si="187"/>
        <v>0.2857142857</v>
      </c>
      <c r="V384" s="5">
        <f t="shared" si="188"/>
        <v>2</v>
      </c>
      <c r="W384" s="6">
        <f t="shared" si="189"/>
        <v>429240</v>
      </c>
      <c r="X384" s="6" t="str">
        <f t="shared" si="191"/>
        <v>R$400.000 - R$500.000</v>
      </c>
      <c r="Y384" s="6">
        <f t="shared" si="190"/>
        <v>551880</v>
      </c>
      <c r="Z384" s="3" t="str">
        <f t="shared" si="192"/>
        <v>R$500.000 - R$600.000</v>
      </c>
    </row>
    <row r="385">
      <c r="A385" s="1">
        <v>222427.0</v>
      </c>
      <c r="B385" s="1" t="s">
        <v>1418</v>
      </c>
      <c r="C385" s="1" t="s">
        <v>1419</v>
      </c>
      <c r="D385" s="1" t="s">
        <v>28</v>
      </c>
      <c r="E385" s="2">
        <v>32000.0</v>
      </c>
      <c r="F385" s="2">
        <v>42000.0</v>
      </c>
      <c r="G385" s="1" t="s">
        <v>29</v>
      </c>
      <c r="H385" s="3"/>
      <c r="I385" s="1" t="s">
        <v>1420</v>
      </c>
      <c r="J385" s="1" t="s">
        <v>31</v>
      </c>
      <c r="K385" s="3"/>
      <c r="L385" s="1" t="s">
        <v>32</v>
      </c>
      <c r="M385" s="1" t="s">
        <v>33</v>
      </c>
      <c r="N385" s="1">
        <v>90000.0</v>
      </c>
      <c r="O385" s="1" t="s">
        <v>199</v>
      </c>
      <c r="P385" s="1" t="s">
        <v>53</v>
      </c>
      <c r="Q385" s="1" t="s">
        <v>54</v>
      </c>
      <c r="R385" s="1" t="s">
        <v>35</v>
      </c>
      <c r="S385" s="4" t="s">
        <v>63</v>
      </c>
      <c r="T385" s="1" t="s">
        <v>1421</v>
      </c>
      <c r="U385" s="5">
        <f t="shared" si="187"/>
        <v>0.3125</v>
      </c>
      <c r="V385" s="5">
        <f t="shared" si="188"/>
        <v>2</v>
      </c>
      <c r="W385" s="6">
        <f t="shared" si="189"/>
        <v>516560</v>
      </c>
      <c r="X385" s="6" t="str">
        <f t="shared" si="191"/>
        <v>R$500.000 - R$600.000</v>
      </c>
      <c r="Y385" s="6">
        <f t="shared" si="190"/>
        <v>677985</v>
      </c>
      <c r="Z385" s="3" t="str">
        <f t="shared" si="192"/>
        <v>R$600.000 - R$700.000</v>
      </c>
    </row>
    <row r="386">
      <c r="A386" s="1">
        <v>215726.0</v>
      </c>
      <c r="B386" s="1" t="s">
        <v>1422</v>
      </c>
      <c r="C386" s="1" t="s">
        <v>1423</v>
      </c>
      <c r="D386" s="1" t="s">
        <v>28</v>
      </c>
      <c r="E386" s="2">
        <v>36000.0</v>
      </c>
      <c r="F386" s="2">
        <v>40000.0</v>
      </c>
      <c r="G386" s="1" t="s">
        <v>75</v>
      </c>
      <c r="I386" s="1" t="s">
        <v>1424</v>
      </c>
      <c r="J386" s="1" t="s">
        <v>31</v>
      </c>
      <c r="K386" s="3"/>
      <c r="L386" s="1" t="s">
        <v>32</v>
      </c>
      <c r="M386" s="1" t="s">
        <v>33</v>
      </c>
      <c r="N386" s="1">
        <v>36000.0</v>
      </c>
      <c r="O386" s="1" t="s">
        <v>178</v>
      </c>
      <c r="P386" s="1" t="s">
        <v>35</v>
      </c>
      <c r="Q386" s="1" t="s">
        <v>54</v>
      </c>
      <c r="R386" s="1" t="s">
        <v>35</v>
      </c>
      <c r="S386" s="4" t="s">
        <v>63</v>
      </c>
      <c r="T386" s="1" t="s">
        <v>1425</v>
      </c>
      <c r="U386" s="5">
        <f t="shared" si="187"/>
        <v>0.1111111111</v>
      </c>
      <c r="V386" s="5">
        <f t="shared" si="188"/>
        <v>1</v>
      </c>
      <c r="W386" s="6">
        <f t="shared" si="189"/>
        <v>515880</v>
      </c>
      <c r="X386" s="6" t="str">
        <f t="shared" si="191"/>
        <v>R$500.000 - R$600.000</v>
      </c>
      <c r="Y386" s="6">
        <f t="shared" si="190"/>
        <v>573200</v>
      </c>
      <c r="Z386" s="3" t="str">
        <f t="shared" si="192"/>
        <v>R$500.000 - R$600.000</v>
      </c>
    </row>
    <row r="387">
      <c r="A387" s="1">
        <v>222289.0</v>
      </c>
      <c r="B387" s="1" t="s">
        <v>1426</v>
      </c>
      <c r="C387" s="1" t="s">
        <v>1427</v>
      </c>
      <c r="D387" s="1" t="s">
        <v>28</v>
      </c>
      <c r="E387" s="2">
        <v>57000.0</v>
      </c>
      <c r="F387" s="2">
        <f>E387*1.12</f>
        <v>63840</v>
      </c>
      <c r="G387" s="1" t="s">
        <v>29</v>
      </c>
      <c r="H387" s="3"/>
      <c r="I387" s="1" t="s">
        <v>99</v>
      </c>
      <c r="J387" s="1" t="s">
        <v>31</v>
      </c>
      <c r="K387" s="3"/>
      <c r="L387" s="1" t="s">
        <v>51</v>
      </c>
      <c r="M387" s="1" t="s">
        <v>33</v>
      </c>
      <c r="N387" s="1">
        <v>228000.0</v>
      </c>
      <c r="O387" s="1" t="s">
        <v>44</v>
      </c>
      <c r="P387" s="1" t="s">
        <v>35</v>
      </c>
      <c r="Q387" s="1" t="s">
        <v>36</v>
      </c>
      <c r="R387" s="1" t="s">
        <v>35</v>
      </c>
      <c r="S387" s="4" t="s">
        <v>381</v>
      </c>
      <c r="T387" s="1" t="s">
        <v>100</v>
      </c>
      <c r="U387" s="5">
        <f t="shared" si="187"/>
        <v>0.12</v>
      </c>
      <c r="V387" s="5">
        <f t="shared" si="188"/>
        <v>4</v>
      </c>
      <c r="W387" s="6">
        <f t="shared" si="189"/>
        <v>987810</v>
      </c>
      <c r="X387" s="6" t="str">
        <f t="shared" si="191"/>
        <v>Superior a R$900.000</v>
      </c>
      <c r="Y387" s="6">
        <f t="shared" si="190"/>
        <v>1106347.2</v>
      </c>
      <c r="Z387" s="3" t="str">
        <f t="shared" si="192"/>
        <v>Superior a R$900.000</v>
      </c>
    </row>
    <row r="388">
      <c r="A388" s="1">
        <v>218747.0</v>
      </c>
      <c r="B388" s="1" t="s">
        <v>1428</v>
      </c>
      <c r="C388" s="1" t="s">
        <v>1429</v>
      </c>
      <c r="D388" s="1" t="s">
        <v>28</v>
      </c>
      <c r="E388" s="2">
        <v>70000.0</v>
      </c>
      <c r="F388" s="2">
        <v>70000.0</v>
      </c>
      <c r="G388" s="1" t="s">
        <v>75</v>
      </c>
      <c r="H388" s="3"/>
      <c r="I388" s="1" t="s">
        <v>1430</v>
      </c>
      <c r="J388" s="1" t="s">
        <v>50</v>
      </c>
      <c r="K388" s="3"/>
      <c r="L388" s="1" t="s">
        <v>51</v>
      </c>
      <c r="M388" s="1" t="s">
        <v>52</v>
      </c>
      <c r="N388" s="1">
        <v>350000.0</v>
      </c>
      <c r="O388" s="1" t="s">
        <v>119</v>
      </c>
      <c r="P388" s="1" t="s">
        <v>35</v>
      </c>
      <c r="Q388" s="1" t="s">
        <v>36</v>
      </c>
      <c r="R388" s="1" t="s">
        <v>35</v>
      </c>
      <c r="S388" s="4" t="s">
        <v>381</v>
      </c>
      <c r="T388" s="1" t="s">
        <v>1431</v>
      </c>
      <c r="U388" s="5">
        <f t="shared" si="187"/>
        <v>0</v>
      </c>
      <c r="V388" s="5">
        <f t="shared" si="188"/>
        <v>5</v>
      </c>
      <c r="W388" s="6">
        <f t="shared" si="189"/>
        <v>1283100</v>
      </c>
      <c r="X388" s="6" t="str">
        <f t="shared" si="191"/>
        <v>Superior a R$900.000</v>
      </c>
      <c r="Y388" s="6">
        <f t="shared" si="190"/>
        <v>1283100</v>
      </c>
      <c r="Z388" s="3" t="str">
        <f t="shared" si="192"/>
        <v>Superior a R$900.000</v>
      </c>
    </row>
    <row r="389">
      <c r="A389" s="1">
        <v>179109.0</v>
      </c>
      <c r="B389" s="1" t="s">
        <v>1432</v>
      </c>
      <c r="C389" s="1" t="s">
        <v>1433</v>
      </c>
      <c r="D389" s="1" t="s">
        <v>28</v>
      </c>
      <c r="E389" s="1">
        <v>0.0</v>
      </c>
      <c r="F389" s="1">
        <v>0.0</v>
      </c>
      <c r="G389" s="1" t="s">
        <v>75</v>
      </c>
      <c r="I389" s="1" t="s">
        <v>1434</v>
      </c>
      <c r="J389" s="1" t="s">
        <v>31</v>
      </c>
      <c r="K389" s="3"/>
      <c r="L389" s="1" t="s">
        <v>51</v>
      </c>
      <c r="M389" s="1" t="s">
        <v>52</v>
      </c>
      <c r="N389" s="6"/>
      <c r="O389" s="1" t="s">
        <v>199</v>
      </c>
      <c r="P389" s="1" t="s">
        <v>53</v>
      </c>
      <c r="Q389" s="1" t="s">
        <v>36</v>
      </c>
      <c r="R389" s="1" t="s">
        <v>35</v>
      </c>
      <c r="S389" s="4" t="s">
        <v>63</v>
      </c>
      <c r="T389" s="1" t="s">
        <v>1435</v>
      </c>
      <c r="U389" s="5"/>
      <c r="V389" s="5"/>
      <c r="W389" s="6"/>
      <c r="X389" s="6"/>
      <c r="Y389" s="6"/>
      <c r="Z389" s="3"/>
    </row>
    <row r="390">
      <c r="A390" s="1">
        <v>166526.0</v>
      </c>
      <c r="B390" s="1" t="s">
        <v>1436</v>
      </c>
      <c r="C390" s="1" t="s">
        <v>1437</v>
      </c>
      <c r="D390" s="1" t="s">
        <v>28</v>
      </c>
      <c r="E390" s="1">
        <v>0.0</v>
      </c>
      <c r="F390" s="1">
        <v>0.0</v>
      </c>
      <c r="G390" s="1" t="s">
        <v>75</v>
      </c>
      <c r="I390" s="1" t="s">
        <v>1438</v>
      </c>
      <c r="J390" s="1" t="s">
        <v>77</v>
      </c>
      <c r="K390" s="3"/>
      <c r="L390" s="1" t="s">
        <v>51</v>
      </c>
      <c r="M390" s="1" t="s">
        <v>33</v>
      </c>
      <c r="N390" s="8"/>
      <c r="O390" s="1" t="s">
        <v>449</v>
      </c>
      <c r="P390" s="1" t="s">
        <v>35</v>
      </c>
      <c r="Q390" s="1" t="s">
        <v>54</v>
      </c>
      <c r="R390" s="1" t="s">
        <v>35</v>
      </c>
      <c r="S390" s="4" t="s">
        <v>63</v>
      </c>
      <c r="T390" s="1" t="s">
        <v>1439</v>
      </c>
      <c r="U390" s="5"/>
      <c r="V390" s="5"/>
      <c r="W390" s="6"/>
      <c r="X390" s="6"/>
      <c r="Y390" s="6"/>
      <c r="Z390" s="3"/>
    </row>
    <row r="391">
      <c r="A391" s="1">
        <v>222724.0</v>
      </c>
      <c r="B391" s="1" t="s">
        <v>1440</v>
      </c>
      <c r="C391" s="1" t="s">
        <v>1441</v>
      </c>
      <c r="D391" s="1" t="s">
        <v>28</v>
      </c>
      <c r="E391" s="1">
        <v>0.0</v>
      </c>
      <c r="F391" s="1">
        <v>0.0</v>
      </c>
      <c r="G391" s="1" t="s">
        <v>29</v>
      </c>
      <c r="H391" s="3"/>
      <c r="I391" s="1" t="s">
        <v>1442</v>
      </c>
      <c r="J391" s="1" t="s">
        <v>77</v>
      </c>
      <c r="K391" s="3"/>
      <c r="L391" s="1" t="s">
        <v>51</v>
      </c>
      <c r="M391" s="1" t="s">
        <v>33</v>
      </c>
      <c r="N391" s="6"/>
      <c r="O391" s="1" t="s">
        <v>44</v>
      </c>
      <c r="P391" s="1" t="s">
        <v>53</v>
      </c>
      <c r="Q391" s="1" t="s">
        <v>54</v>
      </c>
      <c r="R391" s="1" t="s">
        <v>35</v>
      </c>
      <c r="S391" s="4" t="s">
        <v>63</v>
      </c>
      <c r="T391" s="1" t="s">
        <v>787</v>
      </c>
      <c r="U391" s="5"/>
      <c r="V391" s="5"/>
      <c r="W391" s="6"/>
      <c r="X391" s="6"/>
      <c r="Y391" s="6"/>
      <c r="Z391" s="3"/>
    </row>
    <row r="392">
      <c r="A392" s="1">
        <v>222719.0</v>
      </c>
      <c r="B392" s="1" t="s">
        <v>1443</v>
      </c>
      <c r="C392" s="1" t="s">
        <v>1444</v>
      </c>
      <c r="D392" s="1" t="s">
        <v>28</v>
      </c>
      <c r="E392" s="1">
        <v>0.0</v>
      </c>
      <c r="F392" s="1">
        <v>0.0</v>
      </c>
      <c r="G392" s="1" t="s">
        <v>75</v>
      </c>
      <c r="H392" s="3"/>
      <c r="I392" s="1" t="s">
        <v>1445</v>
      </c>
      <c r="J392" s="1" t="s">
        <v>77</v>
      </c>
      <c r="K392" s="3"/>
      <c r="L392" s="1" t="s">
        <v>51</v>
      </c>
      <c r="M392" s="1" t="s">
        <v>69</v>
      </c>
      <c r="N392" s="6"/>
      <c r="O392" s="1" t="s">
        <v>78</v>
      </c>
      <c r="P392" s="1" t="s">
        <v>35</v>
      </c>
      <c r="Q392" s="1" t="s">
        <v>172</v>
      </c>
      <c r="R392" s="1" t="s">
        <v>53</v>
      </c>
      <c r="S392" s="4" t="s">
        <v>63</v>
      </c>
      <c r="T392" s="1" t="s">
        <v>1446</v>
      </c>
      <c r="U392" s="5"/>
      <c r="V392" s="5"/>
      <c r="W392" s="6"/>
      <c r="X392" s="6"/>
      <c r="Y392" s="6"/>
      <c r="Z392" s="3"/>
    </row>
    <row r="393">
      <c r="A393" s="1">
        <v>222426.0</v>
      </c>
      <c r="B393" s="1" t="s">
        <v>1447</v>
      </c>
      <c r="C393" s="1" t="s">
        <v>1448</v>
      </c>
      <c r="D393" s="1" t="s">
        <v>28</v>
      </c>
      <c r="E393" s="1">
        <v>0.0</v>
      </c>
      <c r="F393" s="1">
        <v>0.0</v>
      </c>
      <c r="G393" s="1" t="s">
        <v>29</v>
      </c>
      <c r="H393" s="3"/>
      <c r="I393" s="1" t="s">
        <v>1449</v>
      </c>
      <c r="J393" s="1" t="s">
        <v>60</v>
      </c>
      <c r="K393" s="3"/>
      <c r="L393" s="1" t="s">
        <v>51</v>
      </c>
      <c r="M393" s="1" t="s">
        <v>33</v>
      </c>
      <c r="N393" s="3"/>
      <c r="O393" s="1" t="s">
        <v>34</v>
      </c>
      <c r="P393" s="1" t="s">
        <v>53</v>
      </c>
      <c r="Q393" s="1" t="s">
        <v>36</v>
      </c>
      <c r="R393" s="1" t="s">
        <v>53</v>
      </c>
      <c r="S393" s="4" t="s">
        <v>63</v>
      </c>
      <c r="T393" s="1" t="s">
        <v>1450</v>
      </c>
      <c r="U393" s="5"/>
      <c r="V393" s="5"/>
      <c r="W393" s="6"/>
      <c r="X393" s="6"/>
      <c r="Y393" s="6"/>
      <c r="Z393" s="3"/>
    </row>
    <row r="394">
      <c r="A394" s="1">
        <v>222304.0</v>
      </c>
      <c r="B394" s="1" t="s">
        <v>1451</v>
      </c>
      <c r="C394" s="1" t="s">
        <v>1452</v>
      </c>
      <c r="D394" s="1" t="s">
        <v>28</v>
      </c>
      <c r="E394" s="1">
        <v>0.0</v>
      </c>
      <c r="F394" s="1">
        <v>0.0</v>
      </c>
      <c r="G394" s="1" t="s">
        <v>29</v>
      </c>
      <c r="H394" s="3"/>
      <c r="I394" s="1" t="s">
        <v>1453</v>
      </c>
      <c r="J394" s="1" t="s">
        <v>77</v>
      </c>
      <c r="K394" s="3"/>
      <c r="L394" s="1" t="s">
        <v>51</v>
      </c>
      <c r="M394" s="1" t="s">
        <v>33</v>
      </c>
      <c r="N394" s="3"/>
      <c r="O394" s="1" t="s">
        <v>62</v>
      </c>
      <c r="P394" s="1" t="s">
        <v>53</v>
      </c>
      <c r="Q394" s="1" t="s">
        <v>54</v>
      </c>
      <c r="R394" s="1" t="s">
        <v>35</v>
      </c>
      <c r="S394" s="4" t="s">
        <v>63</v>
      </c>
      <c r="T394" s="1" t="s">
        <v>1454</v>
      </c>
      <c r="U394" s="5"/>
      <c r="V394" s="5"/>
      <c r="W394" s="6"/>
      <c r="X394" s="6"/>
      <c r="Y394" s="6"/>
      <c r="Z394" s="3"/>
    </row>
    <row r="395">
      <c r="A395" s="1">
        <v>222833.0</v>
      </c>
      <c r="B395" s="1" t="s">
        <v>1455</v>
      </c>
      <c r="C395" s="1" t="s">
        <v>1456</v>
      </c>
      <c r="D395" s="1" t="s">
        <v>28</v>
      </c>
      <c r="E395" s="2">
        <v>13000.0</v>
      </c>
      <c r="F395" s="2">
        <v>19000.0</v>
      </c>
      <c r="G395" s="1" t="s">
        <v>29</v>
      </c>
      <c r="H395" s="3"/>
      <c r="I395" s="1" t="s">
        <v>1457</v>
      </c>
      <c r="J395" s="1" t="s">
        <v>77</v>
      </c>
      <c r="K395" s="3"/>
      <c r="L395" s="1" t="s">
        <v>32</v>
      </c>
      <c r="M395" s="1" t="s">
        <v>52</v>
      </c>
      <c r="N395" s="1">
        <v>50000.0</v>
      </c>
      <c r="O395" s="1" t="s">
        <v>218</v>
      </c>
      <c r="P395" s="1" t="s">
        <v>35</v>
      </c>
      <c r="Q395" s="1" t="s">
        <v>54</v>
      </c>
      <c r="R395" s="1" t="s">
        <v>35</v>
      </c>
      <c r="S395" s="4" t="s">
        <v>63</v>
      </c>
      <c r="T395" s="1" t="s">
        <v>880</v>
      </c>
      <c r="U395" s="5">
        <f t="shared" ref="U395:U405" si="193">(F395/E395)-1</f>
        <v>0.4615384615</v>
      </c>
      <c r="V395" s="5">
        <f t="shared" ref="V395:V405" si="194">ROUNDDOWN(N395/E395,0)</f>
        <v>3</v>
      </c>
      <c r="W395" s="6">
        <f t="shared" ref="W395:W405" si="195">13.33*E395+N395</f>
        <v>223290</v>
      </c>
      <c r="X395" s="6"/>
      <c r="Y395" s="6">
        <f t="shared" ref="Y395:Y405" si="196">W395+(W395*U395)</f>
        <v>326346.9231</v>
      </c>
      <c r="Z395" s="3"/>
    </row>
    <row r="396">
      <c r="A396" s="1">
        <v>222434.0</v>
      </c>
      <c r="B396" s="1" t="s">
        <v>1458</v>
      </c>
      <c r="C396" s="1" t="s">
        <v>1459</v>
      </c>
      <c r="D396" s="1" t="s">
        <v>28</v>
      </c>
      <c r="E396" s="2">
        <v>15000.0</v>
      </c>
      <c r="F396" s="2">
        <v>15000.0</v>
      </c>
      <c r="G396" s="1" t="s">
        <v>75</v>
      </c>
      <c r="H396" s="3"/>
      <c r="I396" s="1" t="s">
        <v>1460</v>
      </c>
      <c r="J396" s="1" t="s">
        <v>77</v>
      </c>
      <c r="K396" s="3"/>
      <c r="L396" s="1" t="s">
        <v>61</v>
      </c>
      <c r="M396" s="1" t="s">
        <v>69</v>
      </c>
      <c r="N396" s="1">
        <v>0.0</v>
      </c>
      <c r="O396" s="1" t="s">
        <v>140</v>
      </c>
      <c r="P396" s="1" t="s">
        <v>53</v>
      </c>
      <c r="Q396" s="1" t="s">
        <v>54</v>
      </c>
      <c r="R396" s="1" t="s">
        <v>35</v>
      </c>
      <c r="S396" s="4" t="s">
        <v>63</v>
      </c>
      <c r="T396" s="1" t="s">
        <v>1461</v>
      </c>
      <c r="U396" s="5">
        <f t="shared" si="193"/>
        <v>0</v>
      </c>
      <c r="V396" s="5">
        <f t="shared" si="194"/>
        <v>0</v>
      </c>
      <c r="W396" s="6">
        <f t="shared" si="195"/>
        <v>199950</v>
      </c>
      <c r="X396" s="6"/>
      <c r="Y396" s="6">
        <f t="shared" si="196"/>
        <v>199950</v>
      </c>
      <c r="Z396" s="3"/>
    </row>
    <row r="397">
      <c r="A397" s="1">
        <v>222569.0</v>
      </c>
      <c r="B397" s="1" t="s">
        <v>1462</v>
      </c>
      <c r="C397" s="1" t="s">
        <v>1463</v>
      </c>
      <c r="D397" s="1" t="s">
        <v>28</v>
      </c>
      <c r="E397" s="2">
        <v>15000.0</v>
      </c>
      <c r="F397" s="2">
        <v>18000.0</v>
      </c>
      <c r="G397" s="1" t="s">
        <v>29</v>
      </c>
      <c r="H397" s="3"/>
      <c r="I397" s="1" t="s">
        <v>1464</v>
      </c>
      <c r="J397" s="1" t="s">
        <v>77</v>
      </c>
      <c r="K397" s="3"/>
      <c r="L397" s="1" t="s">
        <v>32</v>
      </c>
      <c r="M397" s="1" t="s">
        <v>33</v>
      </c>
      <c r="N397" s="1">
        <v>19800.0</v>
      </c>
      <c r="O397" s="1" t="s">
        <v>34</v>
      </c>
      <c r="P397" s="1" t="s">
        <v>53</v>
      </c>
      <c r="Q397" s="1" t="s">
        <v>36</v>
      </c>
      <c r="R397" s="1" t="s">
        <v>35</v>
      </c>
      <c r="S397" s="4" t="s">
        <v>63</v>
      </c>
      <c r="T397" s="1" t="s">
        <v>1465</v>
      </c>
      <c r="U397" s="5">
        <f t="shared" si="193"/>
        <v>0.2</v>
      </c>
      <c r="V397" s="5">
        <f t="shared" si="194"/>
        <v>1</v>
      </c>
      <c r="W397" s="6">
        <f t="shared" si="195"/>
        <v>219750</v>
      </c>
      <c r="X397" s="6"/>
      <c r="Y397" s="6">
        <f t="shared" si="196"/>
        <v>263700</v>
      </c>
      <c r="Z397" s="3"/>
    </row>
    <row r="398">
      <c r="A398" s="1">
        <v>222804.0</v>
      </c>
      <c r="B398" s="1" t="s">
        <v>1466</v>
      </c>
      <c r="C398" s="1" t="s">
        <v>1467</v>
      </c>
      <c r="D398" s="1" t="s">
        <v>28</v>
      </c>
      <c r="E398" s="2">
        <v>15000.0</v>
      </c>
      <c r="F398" s="2">
        <v>20000.0</v>
      </c>
      <c r="G398" s="1" t="s">
        <v>75</v>
      </c>
      <c r="I398" s="1" t="s">
        <v>1468</v>
      </c>
      <c r="J398" s="1" t="s">
        <v>77</v>
      </c>
      <c r="K398" s="3"/>
      <c r="L398" s="1" t="s">
        <v>51</v>
      </c>
      <c r="M398" s="1" t="s">
        <v>52</v>
      </c>
      <c r="N398" s="1">
        <v>200000.0</v>
      </c>
      <c r="O398" s="1" t="s">
        <v>280</v>
      </c>
      <c r="P398" s="1" t="s">
        <v>53</v>
      </c>
      <c r="Q398" s="1" t="s">
        <v>36</v>
      </c>
      <c r="R398" s="1" t="s">
        <v>35</v>
      </c>
      <c r="S398" s="4" t="s">
        <v>63</v>
      </c>
      <c r="T398" s="1" t="s">
        <v>1469</v>
      </c>
      <c r="U398" s="5">
        <f t="shared" si="193"/>
        <v>0.3333333333</v>
      </c>
      <c r="V398" s="5">
        <f t="shared" si="194"/>
        <v>13</v>
      </c>
      <c r="W398" s="6">
        <f t="shared" si="195"/>
        <v>399950</v>
      </c>
      <c r="X398" s="6"/>
      <c r="Y398" s="6">
        <f t="shared" si="196"/>
        <v>533266.6667</v>
      </c>
      <c r="Z398" s="3" t="str">
        <f>IF(Y398&lt;100000,"abaixo de R$100.000",IF(AND(Y398&gt;=100000,Y398&lt;200000),"R$100.000 - R$200.000",IF(AND(Y398&gt;=200000,Y398&lt;300000),"R$200.000 - R$300.000",IF(AND(Y398&gt;=300000,Y398&lt;400000),"R$300.000 - R$400.000",IF(AND(Y398&gt;=400000,Y398&lt;500000),"R$400.000 - R$500.000",IF(AND(Y398&gt;=500000,Y398&lt;600000),"R$500.000 - R$600.000",IF(AND(Y398&gt;=600000,Y398&lt;700000),"R$600.000 - R$700.000",IF(AND(Y398&gt;=700000,Y398&lt;800000),"R$700.000 - R$800.000",IF(AND(Y398&gt;=800000,Y398&lt;900000),"R$800.000 - R$900.000","Superior a R$900.000")))))))))</f>
        <v>R$500.000 - R$600.000</v>
      </c>
    </row>
    <row r="399">
      <c r="A399" s="1">
        <v>203517.0</v>
      </c>
      <c r="B399" s="1" t="s">
        <v>1470</v>
      </c>
      <c r="C399" s="1" t="s">
        <v>1471</v>
      </c>
      <c r="D399" s="1" t="s">
        <v>28</v>
      </c>
      <c r="E399" s="2">
        <v>15000.0</v>
      </c>
      <c r="F399" s="2">
        <v>20000.0</v>
      </c>
      <c r="G399" s="1" t="s">
        <v>29</v>
      </c>
      <c r="H399" s="3"/>
      <c r="I399" s="1" t="s">
        <v>1472</v>
      </c>
      <c r="J399" s="1" t="s">
        <v>77</v>
      </c>
      <c r="K399" s="3"/>
      <c r="L399" s="1" t="s">
        <v>32</v>
      </c>
      <c r="M399" s="1" t="s">
        <v>52</v>
      </c>
      <c r="N399" s="1">
        <v>8000.0</v>
      </c>
      <c r="O399" s="1" t="s">
        <v>34</v>
      </c>
      <c r="P399" s="1" t="s">
        <v>53</v>
      </c>
      <c r="Q399" s="1" t="s">
        <v>36</v>
      </c>
      <c r="R399" s="1" t="s">
        <v>35</v>
      </c>
      <c r="S399" s="4" t="s">
        <v>63</v>
      </c>
      <c r="T399" s="1" t="s">
        <v>264</v>
      </c>
      <c r="U399" s="5">
        <f t="shared" si="193"/>
        <v>0.3333333333</v>
      </c>
      <c r="V399" s="5">
        <f t="shared" si="194"/>
        <v>0</v>
      </c>
      <c r="W399" s="6">
        <f t="shared" si="195"/>
        <v>207950</v>
      </c>
      <c r="X399" s="6"/>
      <c r="Y399" s="6">
        <f t="shared" si="196"/>
        <v>277266.6667</v>
      </c>
      <c r="Z399" s="3"/>
    </row>
    <row r="400">
      <c r="A400" s="1">
        <v>222547.0</v>
      </c>
      <c r="B400" s="1" t="s">
        <v>1473</v>
      </c>
      <c r="C400" s="1" t="s">
        <v>1474</v>
      </c>
      <c r="D400" s="1" t="s">
        <v>28</v>
      </c>
      <c r="E400" s="2">
        <v>16000.0</v>
      </c>
      <c r="F400" s="2">
        <f>E400</f>
        <v>16000</v>
      </c>
      <c r="G400" s="1" t="s">
        <v>75</v>
      </c>
      <c r="I400" s="1" t="s">
        <v>1475</v>
      </c>
      <c r="J400" s="1" t="s">
        <v>77</v>
      </c>
      <c r="K400" s="3"/>
      <c r="L400" s="1" t="s">
        <v>61</v>
      </c>
      <c r="M400" s="1" t="s">
        <v>33</v>
      </c>
      <c r="N400" s="1">
        <v>40000.0</v>
      </c>
      <c r="O400" s="1" t="s">
        <v>34</v>
      </c>
      <c r="P400" s="1" t="s">
        <v>35</v>
      </c>
      <c r="Q400" s="1" t="s">
        <v>36</v>
      </c>
      <c r="R400" s="1" t="s">
        <v>35</v>
      </c>
      <c r="S400" s="4" t="s">
        <v>63</v>
      </c>
      <c r="T400" s="1" t="s">
        <v>1476</v>
      </c>
      <c r="U400" s="5">
        <f t="shared" si="193"/>
        <v>0</v>
      </c>
      <c r="V400" s="5">
        <f t="shared" si="194"/>
        <v>2</v>
      </c>
      <c r="W400" s="6">
        <f t="shared" si="195"/>
        <v>253280</v>
      </c>
      <c r="X400" s="6"/>
      <c r="Y400" s="6">
        <f t="shared" si="196"/>
        <v>253280</v>
      </c>
      <c r="Z400" s="3"/>
    </row>
    <row r="401">
      <c r="A401" s="1">
        <v>222643.0</v>
      </c>
      <c r="B401" s="1" t="s">
        <v>1477</v>
      </c>
      <c r="C401" s="2">
        <v>19150.0</v>
      </c>
      <c r="D401" s="1" t="s">
        <v>28</v>
      </c>
      <c r="E401" s="2">
        <v>19150.0</v>
      </c>
      <c r="F401" s="2">
        <v>22980.0</v>
      </c>
      <c r="G401" s="1" t="s">
        <v>75</v>
      </c>
      <c r="I401" s="1" t="s">
        <v>76</v>
      </c>
      <c r="J401" s="1" t="s">
        <v>77</v>
      </c>
      <c r="K401" s="3"/>
      <c r="L401" s="1" t="s">
        <v>32</v>
      </c>
      <c r="M401" s="1" t="s">
        <v>33</v>
      </c>
      <c r="N401" s="1">
        <v>0.0</v>
      </c>
      <c r="O401" s="1" t="s">
        <v>78</v>
      </c>
      <c r="P401" s="1" t="s">
        <v>53</v>
      </c>
      <c r="Q401" s="1" t="s">
        <v>54</v>
      </c>
      <c r="R401" s="1" t="s">
        <v>35</v>
      </c>
      <c r="S401" s="4" t="s">
        <v>63</v>
      </c>
      <c r="T401" s="1" t="s">
        <v>1478</v>
      </c>
      <c r="U401" s="5">
        <f t="shared" si="193"/>
        <v>0.2</v>
      </c>
      <c r="V401" s="5">
        <f t="shared" si="194"/>
        <v>0</v>
      </c>
      <c r="W401" s="6">
        <f t="shared" si="195"/>
        <v>255269.5</v>
      </c>
      <c r="X401" s="6"/>
      <c r="Y401" s="6">
        <f t="shared" si="196"/>
        <v>306323.4</v>
      </c>
      <c r="Z401" s="3"/>
    </row>
    <row r="402">
      <c r="A402" s="1">
        <v>222415.0</v>
      </c>
      <c r="B402" s="1" t="s">
        <v>1479</v>
      </c>
      <c r="C402" s="1" t="s">
        <v>1480</v>
      </c>
      <c r="D402" s="1" t="s">
        <v>28</v>
      </c>
      <c r="E402" s="2">
        <v>19500.0</v>
      </c>
      <c r="F402" s="2">
        <v>25000.0</v>
      </c>
      <c r="G402" s="1" t="s">
        <v>29</v>
      </c>
      <c r="H402" s="3"/>
      <c r="I402" s="1" t="s">
        <v>1481</v>
      </c>
      <c r="J402" s="1" t="s">
        <v>60</v>
      </c>
      <c r="K402" s="3"/>
      <c r="L402" s="1" t="s">
        <v>51</v>
      </c>
      <c r="M402" s="1" t="s">
        <v>52</v>
      </c>
      <c r="N402" s="1">
        <v>19499.0</v>
      </c>
      <c r="O402" s="1" t="s">
        <v>34</v>
      </c>
      <c r="P402" s="1" t="s">
        <v>35</v>
      </c>
      <c r="Q402" s="1" t="s">
        <v>36</v>
      </c>
      <c r="R402" s="1" t="s">
        <v>35</v>
      </c>
      <c r="S402" s="4" t="s">
        <v>63</v>
      </c>
      <c r="T402" s="1" t="s">
        <v>105</v>
      </c>
      <c r="U402" s="5">
        <f t="shared" si="193"/>
        <v>0.2820512821</v>
      </c>
      <c r="V402" s="5">
        <f t="shared" si="194"/>
        <v>0</v>
      </c>
      <c r="W402" s="6">
        <f t="shared" si="195"/>
        <v>279434</v>
      </c>
      <c r="X402" s="6"/>
      <c r="Y402" s="6">
        <f t="shared" si="196"/>
        <v>358248.7179</v>
      </c>
      <c r="Z402" s="3"/>
    </row>
    <row r="403">
      <c r="A403" s="1">
        <v>222642.0</v>
      </c>
      <c r="B403" s="1" t="s">
        <v>1482</v>
      </c>
      <c r="C403" s="1" t="s">
        <v>1483</v>
      </c>
      <c r="D403" s="1" t="s">
        <v>28</v>
      </c>
      <c r="E403" s="2">
        <v>20000.0</v>
      </c>
      <c r="F403" s="2">
        <v>28000.0</v>
      </c>
      <c r="G403" s="1" t="s">
        <v>29</v>
      </c>
      <c r="H403" s="3"/>
      <c r="I403" s="1" t="s">
        <v>31</v>
      </c>
      <c r="J403" s="1" t="s">
        <v>31</v>
      </c>
      <c r="K403" s="3"/>
      <c r="L403" s="1" t="s">
        <v>32</v>
      </c>
      <c r="M403" s="1" t="s">
        <v>33</v>
      </c>
      <c r="N403" s="1">
        <v>60000.0</v>
      </c>
      <c r="O403" s="1" t="s">
        <v>178</v>
      </c>
      <c r="P403" s="1" t="s">
        <v>35</v>
      </c>
      <c r="Q403" s="1" t="s">
        <v>54</v>
      </c>
      <c r="R403" s="1" t="s">
        <v>35</v>
      </c>
      <c r="S403" s="4" t="s">
        <v>63</v>
      </c>
      <c r="T403" s="1" t="s">
        <v>1484</v>
      </c>
      <c r="U403" s="5">
        <f t="shared" si="193"/>
        <v>0.4</v>
      </c>
      <c r="V403" s="5">
        <f t="shared" si="194"/>
        <v>3</v>
      </c>
      <c r="W403" s="6">
        <f t="shared" si="195"/>
        <v>326600</v>
      </c>
      <c r="X403" s="6"/>
      <c r="Y403" s="6">
        <f t="shared" si="196"/>
        <v>457240</v>
      </c>
      <c r="Z403" s="3" t="str">
        <f>IF(Y403&lt;100000,"abaixo de R$100.000",IF(AND(Y403&gt;=100000,Y403&lt;200000),"R$100.000 - R$200.000",IF(AND(Y403&gt;=200000,Y403&lt;300000),"R$200.000 - R$300.000",IF(AND(Y403&gt;=300000,Y403&lt;400000),"R$300.000 - R$400.000",IF(AND(Y403&gt;=400000,Y403&lt;500000),"R$400.000 - R$500.000",IF(AND(Y403&gt;=500000,Y403&lt;600000),"R$500.000 - R$600.000",IF(AND(Y403&gt;=600000,Y403&lt;700000),"R$600.000 - R$700.000",IF(AND(Y403&gt;=700000,Y403&lt;800000),"R$700.000 - R$800.000",IF(AND(Y403&gt;=800000,Y403&lt;900000),"R$800.000 - R$900.000","Superior a R$900.000")))))))))</f>
        <v>R$400.000 - R$500.000</v>
      </c>
    </row>
    <row r="404">
      <c r="A404" s="1">
        <v>222646.0</v>
      </c>
      <c r="B404" s="1" t="s">
        <v>1485</v>
      </c>
      <c r="C404" s="1">
        <v>25000.0</v>
      </c>
      <c r="D404" s="1" t="s">
        <v>28</v>
      </c>
      <c r="E404" s="2">
        <v>23000.0</v>
      </c>
      <c r="F404" s="2">
        <v>27000.0</v>
      </c>
      <c r="G404" s="1" t="s">
        <v>29</v>
      </c>
      <c r="H404" s="3"/>
      <c r="I404" s="1" t="s">
        <v>1486</v>
      </c>
      <c r="J404" s="1" t="s">
        <v>31</v>
      </c>
      <c r="K404" s="3"/>
      <c r="L404" s="1" t="s">
        <v>32</v>
      </c>
      <c r="M404" s="1" t="s">
        <v>33</v>
      </c>
      <c r="N404" s="1">
        <v>5000.0</v>
      </c>
      <c r="O404" s="1" t="s">
        <v>44</v>
      </c>
      <c r="P404" s="1" t="s">
        <v>35</v>
      </c>
      <c r="Q404" s="1" t="s">
        <v>36</v>
      </c>
      <c r="R404" s="1" t="s">
        <v>35</v>
      </c>
      <c r="S404" s="4" t="s">
        <v>63</v>
      </c>
      <c r="T404" s="1" t="s">
        <v>1487</v>
      </c>
      <c r="U404" s="5">
        <f t="shared" si="193"/>
        <v>0.1739130435</v>
      </c>
      <c r="V404" s="5">
        <f t="shared" si="194"/>
        <v>0</v>
      </c>
      <c r="W404" s="6">
        <f t="shared" si="195"/>
        <v>311590</v>
      </c>
      <c r="X404" s="6"/>
      <c r="Y404" s="6">
        <f t="shared" si="196"/>
        <v>365779.5652</v>
      </c>
      <c r="Z404" s="3"/>
    </row>
    <row r="405">
      <c r="A405" s="1">
        <v>206009.0</v>
      </c>
      <c r="B405" s="1" t="s">
        <v>1488</v>
      </c>
      <c r="C405" s="1" t="s">
        <v>1489</v>
      </c>
      <c r="D405" s="1" t="s">
        <v>28</v>
      </c>
      <c r="E405" s="2">
        <v>25000.0</v>
      </c>
      <c r="F405" s="2">
        <v>30000.0</v>
      </c>
      <c r="G405" s="1" t="s">
        <v>29</v>
      </c>
      <c r="H405" s="3"/>
      <c r="I405" s="1" t="s">
        <v>99</v>
      </c>
      <c r="J405" s="1" t="s">
        <v>31</v>
      </c>
      <c r="K405" s="3"/>
      <c r="L405" s="1" t="s">
        <v>32</v>
      </c>
      <c r="M405" s="1" t="s">
        <v>33</v>
      </c>
      <c r="N405" s="1">
        <v>25000.0</v>
      </c>
      <c r="O405" s="1" t="s">
        <v>70</v>
      </c>
      <c r="P405" s="1" t="s">
        <v>53</v>
      </c>
      <c r="Q405" s="1" t="s">
        <v>172</v>
      </c>
      <c r="R405" s="1" t="s">
        <v>35</v>
      </c>
      <c r="S405" s="4" t="s">
        <v>63</v>
      </c>
      <c r="T405" s="1" t="s">
        <v>285</v>
      </c>
      <c r="U405" s="5">
        <f t="shared" si="193"/>
        <v>0.2</v>
      </c>
      <c r="V405" s="5">
        <f t="shared" si="194"/>
        <v>1</v>
      </c>
      <c r="W405" s="6">
        <f t="shared" si="195"/>
        <v>358250</v>
      </c>
      <c r="X405" s="6"/>
      <c r="Y405" s="6">
        <f t="shared" si="196"/>
        <v>429900</v>
      </c>
      <c r="Z405" s="3" t="str">
        <f>IF(Y405&lt;100000,"abaixo de R$100.000",IF(AND(Y405&gt;=100000,Y405&lt;200000),"R$100.000 - R$200.000",IF(AND(Y405&gt;=200000,Y405&lt;300000),"R$200.000 - R$300.000",IF(AND(Y405&gt;=300000,Y405&lt;400000),"R$300.000 - R$400.000",IF(AND(Y405&gt;=400000,Y405&lt;500000),"R$400.000 - R$500.000",IF(AND(Y405&gt;=500000,Y405&lt;600000),"R$500.000 - R$600.000",IF(AND(Y405&gt;=600000,Y405&lt;700000),"R$600.000 - R$700.000",IF(AND(Y405&gt;=700000,Y405&lt;800000),"R$700.000 - R$800.000",IF(AND(Y405&gt;=800000,Y405&lt;900000),"R$800.000 - R$900.000","Superior a R$900.000")))))))))</f>
        <v>R$400.000 - R$500.000</v>
      </c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AB$1000">
    <sortState ref="A1:AB1000">
      <sortCondition ref="H1:H1000"/>
      <sortCondition ref="X1:X1000"/>
      <sortCondition ref="E1:E1000"/>
      <sortCondition ref="U1:U1000"/>
    </sortState>
  </autoFilter>
  <hyperlinks>
    <hyperlink r:id="rId1" ref="C248"/>
    <hyperlink r:id="rId2" ref="C310"/>
  </hyperlinks>
  <drawing r:id="rId3"/>
</worksheet>
</file>