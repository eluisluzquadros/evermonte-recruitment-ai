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Alinhamento" sheetId="2" r:id="rId5"/>
    <sheet state="visible" name="Shortlist" sheetId="3" r:id="rId6"/>
    <sheet state="visible" name="Dashboard" sheetId="4" r:id="rId7"/>
    <sheet state="hidden" name="Remuneração e Risco" sheetId="5" r:id="rId8"/>
    <sheet state="visible" name="Referências" sheetId="6" r:id="rId9"/>
    <sheet state="visible" name="Analise de remuneração " sheetId="7" r:id="rId10"/>
    <sheet state="visible" name="Tomada de Decisão" sheetId="8" r:id="rId11"/>
    <sheet state="visible" name="-" sheetId="9" r:id="rId12"/>
  </sheets>
  <definedNames/>
  <calcPr/>
  <extLst>
    <ext uri="GoogleSheetsCustomDataVersion2">
      <go:sheetsCustomData xmlns:go="http://customooxmlschemas.google.com/" r:id="rId13" roundtripDataChecksum="YnRuxor16Nd4uLc/8nzQoBHEBIxi4UClXDPSDFbo/iM="/>
    </ext>
  </extLst>
</workbook>
</file>

<file path=xl/sharedStrings.xml><?xml version="1.0" encoding="utf-8"?>
<sst xmlns="http://schemas.openxmlformats.org/spreadsheetml/2006/main" count="490" uniqueCount="290">
  <si>
    <t>Modelo Looker - Oficial Português</t>
  </si>
  <si>
    <t>Modelo Looker - Oficial Inglês</t>
  </si>
  <si>
    <t>1. Prompt Alinhamento</t>
  </si>
  <si>
    <t>2. Prompt Entrevista</t>
  </si>
  <si>
    <t>3. Prompt Shortlist</t>
  </si>
  <si>
    <t>Modelo Looker Decision Framework</t>
  </si>
  <si>
    <t>4. Prompt Tomada de Decisão</t>
  </si>
  <si>
    <t>NOME EMPRESA</t>
  </si>
  <si>
    <t>POSIÇÃO</t>
  </si>
  <si>
    <t>A COMPANHIA</t>
  </si>
  <si>
    <t xml:space="preserve">| ESTRUTURA DA EMPRESA | A Saipos foi fundada em 2017 e é o segundo empreendimento dos sócios. Anteriormente, eles fundaram a Devorando, vendida ao iFood em 2016. A estrutura executiva é composta por quatro founders, sendo três deles C-level. Kenner Grings é o responsável por Produto, Tecnologia e Suporte. Anderson é o CRO, e Bruno é o CEO, olhando para People, Financeiro, Implantação e CS. A empresa tem cerca de 13.000 clientes atualmente, com a meta de alcançar 22.000 a 24.000 clientes até março do próximo ano. O iFood é o acionista majoritário após um novo aporte, mas a Saipos mantém autonomia operacional significativa. |
| :--- | :--- |
| SETOR, CONCORRÊNCIA E DIFERENCIAIS COMPETITIVOS | A Saipos atua no setor de food service, fornecendo software de gestão e operação (PDV e ERP) para restaurantes, focando na "porta para dentro" do negócio. O mercado é altamente fragmentado no Brasil, com cerca de 1,2 milhão de restaurantes e muitos players regionais. A Saipos se posiciona como um potencial novo líder de mercado (visando atender 100.000 restaurantes). A concorrência inclui Links, Totus, Colibri, Consumer, Yoga, Cardápio Web e Vuca Delivery. Os diferenciais competitivos são: ser um sistema 100% em nuvem/online (capilaridade nacional), ser o maior integrador de pedidos do iFood no Brasil (10% dos pedidos passam pelo PDV da Saipos), e ter mais de 70 ferramentas. O público-alvo (ICP) são restaurantes que faturam entre R$ 70.000 e R$ 500.000. |
| MOMENTO / CONTEXTO DA EMPRESA | A empresa vive um momento de crescimento acelerado e expansão, impulsionado pelo novo aporte e pela entrada do iFood como acionista majoritário. O desafio central que gerou a posição é a necessidade de reduzir o churn e transformar a área de suporte de um centro de custo para uma área de promoção da empresa, reconhecida pela qualidade do atendimento. |
| PRINCIPAIS DESAFIOS ATUAIS DA EMPRESA | O principal desafio estratégico é atingir a meta agressiva de crescimento da base de clientes (de 13.000 para 22.000 a 24.000 clientes até março). Isso exige manter a máquina de crescimento aquecida e, simultaneamente, reduzir a taxa de cancelamento (churn) por meio de uma melhor experiência de suporte. |
| PRINCIPAIS OBJETIVOS E DESAFIOS DA VAGA | Resultados esperados (os três grandes objetivos) são: reduzir a densidade de chamados (contact rate) de 2.4 para 1.3; alcançar 90% dos acionamentos atendidos em primeira resposta do agente em até 1 minuto (atualmente em 60%); e atingir um CESAT de 98. O objetivo principal é a melhoria contínua, transformando o suporte em um promotor do negócio. As barreiras incluem a necessidade de estruturar a área de dados (dashboards, painéis de acompanhamento) e repensar as métricas e o dimensionamento do time (capacity planning). |
| REPORTE DIRETO | Kenner Grings (C-level responsável por Produto, Tecnologia e Suporte). |
| EQUIPE | O time de suporte lida com cerca de 25.000 acionamentos por mês, majoritariamente via chat e WhatsApp. A equipe atualmente tem quatro supervisores, com planos de expandir para seis, cobrindo três filas de atendimento (generalista, impressões, integrações e fiscal). Há também um time de backoffice (para demandas que não se resolvem via chat/e-mail) e um time N3 (para bugs e problemas de produto). O time de Qualidade e Treinamento reporta a um supervisor. |
| LOCALIDADE | São Leopoldo, RS (Tecnosinos). O time de suporte é híbrido, com estagiários e juniores presenciais obrigatórios. Para a gestão, a preferência é por disponibilidade presencial/híbrida (flexibilização possível após onboarding de 30-60 dias). |
| MODELO DE CONTRATAÇÃO | PJ (Pessoa Jurídica). |
| SALÁRIO FIXO MENSAL | Faixa salarial de R$ 28.000 (alvo) até R$ 35.000 (para um candidato excepcional), em 12 notas. |
| REMUNERAÇÃO VARIÁVEL | Bônus variável de duas vezes o salário (anual), com primeiro gatilho de liberação ativado ao atingir 85% da meta de crescimento de clientes da empresa. Inclui 30 dias de férias remuneradas e plano de saúde. |
| EXPERIÊNCIA PROFISSIONAL IDEAL DO EXECUTIVO | Experiência em empresas de RP/SAS de alto volume de atendimento, como Conta Azul, Bling, King Host e Zenvia. Necessita de histórico de desenvolvimento de software em escala, preferencialmente com foco em processos Kanban. Deve ter experiência com suporte a clientes de perfil menos técnico (próximo de B2C) e senso de urgência na resolução de problemas (diferente de e-commerce). Valoriza-se experiência em uso de dados e IA para otimizar atendimento e dimensionamento. |
| HISTÓRICO ACADÊMICO IDEAL DO EXECUTIVO | Não foi mencionada uma formação acadêmica específica obrigatória. |
| CORE SKILL IDEAL 1 | Competências analíticas. Essencial para estruturar dashboards, métricas e o dimensionamento da equipe de suporte, transformando dados em melhoria contínua e resultados. |
| CORE SKILL IDEAL 2 | Proatividade e Iniciativa. Necessário para ser propositivo na implementação de projetos e alternativas que visem atingir as metas agressivas de contact rate e tempo de resposta. |
| CORE SKILL IDEAL 3 | Agilidade. Crucial para atuar em um ambiente de alto volume (25k acionamentos/mês) e senso de urgência, garantindo que 90% dos chamados sejam atendidos em 1 minuto. |
| REQUISITOS ESPECÍFICOS PARA O EXECUTIVO | Prioridade para disponibilidade presencial/híbrida em São Leopoldo. Experiência em suporte para clientes não-técnicos (proprietários de restaurante/funcionários). Foco em melhoria contínua e resultados. Inglês desejável para documentação. |
</t>
  </si>
  <si>
    <t>A POSIÇÃO</t>
  </si>
  <si>
    <t>PERFIL IDEAL</t>
  </si>
  <si>
    <t>SHORTLIST</t>
  </si>
  <si>
    <t>CANDIDATO</t>
  </si>
  <si>
    <t>IDADE</t>
  </si>
  <si>
    <t>POSIÇÃO ATUAL</t>
  </si>
  <si>
    <t>LOCALIDADE</t>
  </si>
  <si>
    <t>HISTÓRICO ACADÊMICO</t>
  </si>
  <si>
    <t>EXPERIÊNCIA PROFISSIONAL</t>
  </si>
  <si>
    <t>PRINCIPAIS PROJETOS DA CARREIRA</t>
  </si>
  <si>
    <t>PACOTE DE REMUNERAÇÃO ATUAL</t>
  </si>
  <si>
    <t>CORE SKILLS</t>
  </si>
  <si>
    <t>MOTIVAÇÕES</t>
  </si>
  <si>
    <t>Candidato 1</t>
  </si>
  <si>
    <t>Paulo Ricardo Dauinheimer Machado</t>
  </si>
  <si>
    <t>N/A</t>
  </si>
  <si>
    <t>Gerente de Operações</t>
  </si>
  <si>
    <t>META – Gerente de Operações (DEZ/2024 – ATUAL); SPACE7 DIGITAL – CEO e Founder (FEV/2023 – DEZ/2024); LINX – Gerente de Operações (JUN/2018 – FEV/2023); DCG – Gerente de Operações (DEZ/2015 – JUN/2018); EZ COMMERCE – Coordenador de Equipe (JAN/2015 – DEZ/2015); Stefanini (Estágio a Líder de Equipe): Cinco anos, saiu liderando 25 pessoas em suporte puro de TI Nível 2.</t>
  </si>
  <si>
    <t>1. Estruturação de Indicadores e KPIs do Zero: Na startup de e-commerce (EZ/DCG), implementou o Zendesk e criou métricas de performance e bases analíticas do zero, estruturando o suporte para o crescimento subsequente. 2. Recuperação do NPS: Coordenou um plano de ação colaborativo entre Operações e Produto após feedback negativo (devido à descontinuação de um produto), revertendo o NPS de um patamar negativo para 50-60 em cerca de um ano e meio. 3. Gestão de Crise e Liderança na Pandemia: Durante o crescimento de demanda do e-commerce, a equipe cresceu de 50 para 80 pessoas. Blindou o time, assumindo responsabilidades em reuniões de War Room. Foi premiado como "Líder do Ano" da Linx em 2021.</t>
  </si>
  <si>
    <t>CLT: Salário fixo mensal de R$ 14.000, além de ajuda de custo e dois salários anuais. Benefícios incluem Plano de Saúde/Odontológico, Vale Refeição/Alimentação e Auxílio Educação/Creche.</t>
  </si>
  <si>
    <t>Liderança e Influência social: Evidenciada pelo reconhecimento como "Líder do Ano" na Linx, conquistado por proteger sua equipe sob pressão (War Room). Competências analíticas/Pensamento sistêmico: Demonstrado na capacidade de estruturar indicadores, KPIs e NPS do zero na startup. Proatividade e Iniciativa: Evidenciada na implementação de ITIL e Zendesk em ambientes com ausência de processos.</t>
  </si>
  <si>
    <t>Busca uma oportunidade mais alinhada com sua visão cultural, diferente do perfil tradicional da Meta. Almeja desafios estratégicos em um cenário de crescimento exponencial e deseja participar ativamente das decisões, papel que exerceu anteriormente.</t>
  </si>
  <si>
    <t>Candidato 2</t>
  </si>
  <si>
    <t>Saul Souza</t>
  </si>
  <si>
    <t>Gerente de Tecnologia e Desenvolvimento (DI MARMORE) e Gerente de Suporte Técnico (ISYSTEMS)</t>
  </si>
  <si>
    <t>Taboão da Serra / SP</t>
  </si>
  <si>
    <t>PONTIFÍCIA UNIVERSIDADE CATÓLICA DO RS (PUCRS) – MBA em Gestão de Projetos (2025 – ATUAL); UNIVERSIDADE ANHEMBI MORUMBI (UAM) – Graduação em Gestão de TI (2019 – 2021)</t>
  </si>
  <si>
    <t>DI MARMORE – Gerente de Tecnologia e Desenvolvimento (JUL/2025 – ATUAL); ISYSTEMS – Gerente de Suporte Técnico (DEZ/2023 – ATUAL); OMIE – Gerente de Suporte Técnico (DEZ/2017 – SET/2023)</t>
  </si>
  <si>
    <t>1. Restruturação da Área de Suporte na OMIE: Estruturou cargos (Estagiário, N1, N2, N3) e departamentos (Qualidade, Treinamento), escalando a operação de 20.000 para 70.000 chamados/mês e alcançando 98% de CSAT pelo terceiro ano consecutivo. 2. Criação do Departamento de Treinamento na OMIE: Implementou uma "universidade" de suporte para reduzir a rampagem do analista de 2 anos para 6 meses. 3. Transformação do Suporte e Aumento da Taxa de Uso na ISYSTEMS: Reformulou o suporte técnico, focando na taxa de uso do software de controle avançado. Resultado: Atingiu 79% de taxa de uso, o maior índice na história da empresa.</t>
  </si>
  <si>
    <t>Regime PJ. Salário Fixo Mensal R$ 20.000,00. Bônus Anual Target último ano – R$ 1.000,00. Benefícios: Plano de Saúde / Odontológico Bradesco Nacional; Vale Refeição / Alimentação R$ 950,00; Veículo Corporativo (Aluguel custeado); Auxílio Educação (Pós-graduação R$ 400,00 + Idiomas R$ 175,00).</t>
  </si>
  <si>
    <t>Liderança e Influência social: Evidenciado pela gestão de uma equipe de 200 pessoas na OMIE e pela criação de um projeto de team leaders. Visão estratégica: Demonstração ao reformular a estrutura de cargos na OMIE para escalar a área e ao focar na taxa de uso na ISYSTEMS (atingindo 79%). Gestão de Recursos: Criação dos departamentos de Qualidade e Treinamento na OMIE, otimizando processos. Assertividade: Pontuação de 5 em 5.</t>
  </si>
  <si>
    <t>Retornar à área de suporte em uma empresa em ascensão e forte crescimento (similar ao modelo da OMIE), que ofereça desafios transformacionais. Buscar um ambiente que proporcione oportunidades de aprendizado e proximidade com a liderança sênior. Disposto a realizar uma mudança familiar para o Rio Grande do Sul, caso a oportunidade seja atrativa.</t>
  </si>
  <si>
    <t>Candidate ID</t>
  </si>
  <si>
    <t>Candidato</t>
  </si>
  <si>
    <t>Organização Atual</t>
  </si>
  <si>
    <t>Hiring Stage</t>
  </si>
  <si>
    <t>Salário Atual</t>
  </si>
  <si>
    <t>Expectativa Salarial</t>
  </si>
  <si>
    <t>Género</t>
  </si>
  <si>
    <t>Cidade</t>
  </si>
  <si>
    <t>Título / Posição</t>
  </si>
  <si>
    <t>Cargo</t>
  </si>
  <si>
    <t>Especialidade</t>
  </si>
  <si>
    <t>Modelo de Contrato</t>
  </si>
  <si>
    <t>Modelo de trabalho</t>
  </si>
  <si>
    <t>Remuneração variável (anual) / ICP</t>
  </si>
  <si>
    <t>Segmento</t>
  </si>
  <si>
    <t>Stock Options / ILP</t>
  </si>
  <si>
    <t>Disposto a mudar de residência</t>
  </si>
  <si>
    <t>English Proficiency</t>
  </si>
  <si>
    <t>Rejection Reason</t>
  </si>
  <si>
    <t>Primeiro Nome</t>
  </si>
  <si>
    <t>Conversão</t>
  </si>
  <si>
    <t>Bônus anual (salários)</t>
  </si>
  <si>
    <t>Remuneração anual</t>
  </si>
  <si>
    <t>Faixa atual /ano</t>
  </si>
  <si>
    <t>Pretensão anual</t>
  </si>
  <si>
    <t>Faixa pretensão /ano</t>
  </si>
  <si>
    <t>TESTE</t>
  </si>
  <si>
    <t>Shortlist</t>
  </si>
  <si>
    <t>Empregador 1</t>
  </si>
  <si>
    <t>Pretensão 1</t>
  </si>
  <si>
    <t>Cliente 1</t>
  </si>
  <si>
    <t>Empregador 2</t>
  </si>
  <si>
    <t>Pretensão 2</t>
  </si>
  <si>
    <t>Cliente 2</t>
  </si>
  <si>
    <t>Empregador 3</t>
  </si>
  <si>
    <t>Pretensão 3</t>
  </si>
  <si>
    <t>Cliente 3</t>
  </si>
  <si>
    <t>Base mensal</t>
  </si>
  <si>
    <t>Salário base mês</t>
  </si>
  <si>
    <t>CLT</t>
  </si>
  <si>
    <t>PJ</t>
  </si>
  <si>
    <t>RSU</t>
  </si>
  <si>
    <t>Multiplos de salário</t>
  </si>
  <si>
    <t>Múltiplos de salários de bônus</t>
  </si>
  <si>
    <t>Base anual</t>
  </si>
  <si>
    <t>Remuneração fixa</t>
  </si>
  <si>
    <t>Bônus | ICP</t>
  </si>
  <si>
    <t>PPR/PLR</t>
  </si>
  <si>
    <t>FGTS</t>
  </si>
  <si>
    <t>ILP</t>
  </si>
  <si>
    <t>Previdência Privada</t>
  </si>
  <si>
    <t>Car Allowance</t>
  </si>
  <si>
    <t>Vale Combustível</t>
  </si>
  <si>
    <t>Auxílio Alimentação</t>
  </si>
  <si>
    <t>Auxílio Educação</t>
  </si>
  <si>
    <t>Auxilio Idiomas</t>
  </si>
  <si>
    <t>Plano de Saúde</t>
  </si>
  <si>
    <t>Hiring Bonus</t>
  </si>
  <si>
    <t>Set in Allowance</t>
  </si>
  <si>
    <t>Outros</t>
  </si>
  <si>
    <t>Tributação</t>
  </si>
  <si>
    <t>Remuneração/Ano - Bruto</t>
  </si>
  <si>
    <t>Diferença Remuneração Bruta</t>
  </si>
  <si>
    <t>Evolução Remuneração Bruta</t>
  </si>
  <si>
    <t>Remuneração/Ano - Líquida</t>
  </si>
  <si>
    <t>Diferença Remuneração Líquida</t>
  </si>
  <si>
    <t>Evolução Remuneração Líquida</t>
  </si>
  <si>
    <t>Nome Candidato 1</t>
  </si>
  <si>
    <t>CANDIDATO 1</t>
  </si>
  <si>
    <t>Nome Candidato 2</t>
  </si>
  <si>
    <t>CANDIDATO 2</t>
  </si>
  <si>
    <t>Nome Candidato 3</t>
  </si>
  <si>
    <t>CANDIDATO 3</t>
  </si>
  <si>
    <t>Nome Candidato 4</t>
  </si>
  <si>
    <t>CANDIDATO 4</t>
  </si>
  <si>
    <t>Cargo | Empresa 1/1</t>
  </si>
  <si>
    <t>(CARGO | EMPRESA)</t>
  </si>
  <si>
    <t>Cargo | Empresa 1/2</t>
  </si>
  <si>
    <t>Cargo | Empresa 1/3</t>
  </si>
  <si>
    <t>Cargo | Empresa 1/4</t>
  </si>
  <si>
    <t>Texto 1/1</t>
  </si>
  <si>
    <t xml:space="preserve">(texto) 
</t>
  </si>
  <si>
    <t>Texto 1/2</t>
  </si>
  <si>
    <t xml:space="preserve">(texto) </t>
  </si>
  <si>
    <t>Texto 1/3</t>
  </si>
  <si>
    <t>(Texto)</t>
  </si>
  <si>
    <t>Texto 1/4</t>
  </si>
  <si>
    <t>Cargo | Empresa 2/1</t>
  </si>
  <si>
    <t>Cargo | Empresa 2/2</t>
  </si>
  <si>
    <t>Cargo | Empresa 2/3</t>
  </si>
  <si>
    <t>Cargo | Empresa 2/4</t>
  </si>
  <si>
    <t>Texto 2/1</t>
  </si>
  <si>
    <t>Texto 2/2</t>
  </si>
  <si>
    <t>Texto 2/3</t>
  </si>
  <si>
    <t>Texto 2/4</t>
  </si>
  <si>
    <t>Cargo | Empresa 3/1</t>
  </si>
  <si>
    <t>Cargo | Empresa 3/2</t>
  </si>
  <si>
    <t>Cargo | Empresa 3/3</t>
  </si>
  <si>
    <t>Cargo | Empresa 3/4</t>
  </si>
  <si>
    <t>Texto 3/1</t>
  </si>
  <si>
    <t>Texto 3/2</t>
  </si>
  <si>
    <t>Texto 3/3</t>
  </si>
  <si>
    <t>Texto 3/4</t>
  </si>
  <si>
    <t>ANÁLISE DE RISCO DE MOVIMENTAÇÃO E REMUNERAÇÃO</t>
  </si>
  <si>
    <t>Empregador</t>
  </si>
  <si>
    <t>Pretensão</t>
  </si>
  <si>
    <t>Cliente</t>
  </si>
  <si>
    <t>Riscos</t>
  </si>
  <si>
    <t>Grau</t>
  </si>
  <si>
    <t>Descrição</t>
  </si>
  <si>
    <t>Pacote</t>
  </si>
  <si>
    <t>Mobilidade</t>
  </si>
  <si>
    <t>Motivação</t>
  </si>
  <si>
    <t>Contexto atual</t>
  </si>
  <si>
    <t>Suporte Financeiro</t>
  </si>
  <si>
    <t>Estrutura familiar</t>
  </si>
  <si>
    <t>Grau de risco</t>
  </si>
  <si>
    <t>TOTAL CASH</t>
  </si>
  <si>
    <t>GRAU DE RISCO</t>
  </si>
  <si>
    <t>CLIENTE</t>
  </si>
  <si>
    <t>TÍTULO</t>
  </si>
  <si>
    <t>COLAR AQUI</t>
  </si>
  <si>
    <t>[EMPRESA] - [POSIÇÃO]</t>
  </si>
  <si>
    <t>EMPRESA</t>
  </si>
  <si>
    <t xml:space="preserve">POSIÇÃO </t>
  </si>
  <si>
    <t>ESTRUTURA DA EMPRESA</t>
  </si>
  <si>
    <t>SETOR, CONCORRÊNCIA E DIFERENCIAIS COMPETITIVOS</t>
  </si>
  <si>
    <t>MOMENTO / CONTEXTO DA EMPRESA</t>
  </si>
  <si>
    <t>PRINCIPAIS DESAFIOS ATUAIS DA EMPRESA</t>
  </si>
  <si>
    <t>PRINCIPAIS OBJETIVOS E DESAFIOS DA VAGA</t>
  </si>
  <si>
    <t>REPORTE DIRETO</t>
  </si>
  <si>
    <t>EQUIPE</t>
  </si>
  <si>
    <t>MODELO DE CONTRATAÇÃO</t>
  </si>
  <si>
    <t>SALÁRIO FIXO MENSAL</t>
  </si>
  <si>
    <t>REMUNERAÇÃO VARIÁVEL</t>
  </si>
  <si>
    <t>EXPERIÊNCIA PROFISSIONAL IDEAL DO EXECUTIVO</t>
  </si>
  <si>
    <t>HISTÓRICO ACADÊMICO IDEAL DO EXECUTIVO</t>
  </si>
  <si>
    <t>CORE SKILL IDEAL 1</t>
  </si>
  <si>
    <t>CORE SKILL IDEAL 2</t>
  </si>
  <si>
    <t>CORE SKILL IDEAL 3</t>
  </si>
  <si>
    <t>REQUISITOS ESPECÍFICOS PARA O EXECUTIVO</t>
  </si>
  <si>
    <t>SHORTLIST 1</t>
  </si>
  <si>
    <t>IDADE 1</t>
  </si>
  <si>
    <t>POSIÇÃO ATUAL 1</t>
  </si>
  <si>
    <t>LOCALIDADE 1</t>
  </si>
  <si>
    <t>HISTÓRICO ACADÊMICO 1</t>
  </si>
  <si>
    <t>EXPERIÊNCIA PROFISSIONAL 1</t>
  </si>
  <si>
    <t>PRINCIPAIS PROJETOS DA CARREIRA 1</t>
  </si>
  <si>
    <t>PACOTE DE REMUNERAÇÃO ATUAL 1</t>
  </si>
  <si>
    <t>CORE SKILLS 1</t>
  </si>
  <si>
    <t>MOTIVAÇÕES 1</t>
  </si>
  <si>
    <t>SHORTLIST 2</t>
  </si>
  <si>
    <t>IDADE 2</t>
  </si>
  <si>
    <t>POSIÇÃO ATUAL 2</t>
  </si>
  <si>
    <t>LOCALIDADE 2</t>
  </si>
  <si>
    <t>HISTÓRICO ACADÊMICO 2</t>
  </si>
  <si>
    <t>EXPERIÊNCIA PROFISSIONAL 2</t>
  </si>
  <si>
    <t>PRINCIPAIS PROJETOS DA CARREIRA 2</t>
  </si>
  <si>
    <t>PACOTE DE REMUNERAÇÃO ATUAL 2</t>
  </si>
  <si>
    <t>CORE SKILLS 2</t>
  </si>
  <si>
    <t>MOTIVAÇÕES 2</t>
  </si>
  <si>
    <t>SHORTLIST 3</t>
  </si>
  <si>
    <t>IDADE 3</t>
  </si>
  <si>
    <t>POSIÇÃO ATUAL 3</t>
  </si>
  <si>
    <t>LOCALIDADE 3</t>
  </si>
  <si>
    <t>HISTÓRICO ACADÊMICO 3</t>
  </si>
  <si>
    <t>EXPERIÊNCIA PROFISSIONAL 3</t>
  </si>
  <si>
    <t>PRINCIPAIS PROJETOS DA CARREIRA 3</t>
  </si>
  <si>
    <t>PACOTE DE REMUNERAÇÃO ATUAL 3</t>
  </si>
  <si>
    <t>CORE SKILLS 3</t>
  </si>
  <si>
    <t>MOTIVAÇÕES 3</t>
  </si>
  <si>
    <t>SHORTLIST 4</t>
  </si>
  <si>
    <t>IDADE 4</t>
  </si>
  <si>
    <t>POSIÇÃO ATUAL 4</t>
  </si>
  <si>
    <t>LOCALIDADE 4</t>
  </si>
  <si>
    <t>HISTÓRICO ACADÊMICO 4</t>
  </si>
  <si>
    <t>EXPERIÊNCIA PROFISSIONAL 4</t>
  </si>
  <si>
    <t>PRINCIPAIS PROJETOS DA CARREIRA 4</t>
  </si>
  <si>
    <t>PACOTE DE REMUNERAÇÃO ATUAL 4</t>
  </si>
  <si>
    <t>CORE SKILLS 4</t>
  </si>
  <si>
    <t>MOTIVAÇÕES 4</t>
  </si>
  <si>
    <t>SHORTLIST 5</t>
  </si>
  <si>
    <t>CANDIDATO 5</t>
  </si>
  <si>
    <t>IDADE 5</t>
  </si>
  <si>
    <t>POSIÇÃO ATUAL 5</t>
  </si>
  <si>
    <t>LOCALIDADE 5</t>
  </si>
  <si>
    <t>HISTÓRICO ACADÊMICO 5</t>
  </si>
  <si>
    <t>EXPERIÊNCIA PROFISSIONAL 5</t>
  </si>
  <si>
    <t>PRINCIPAIS PROJETOS DA CARREIRA 5</t>
  </si>
  <si>
    <t>PACOTE DE REMUNERAÇÃO ATUAL 5</t>
  </si>
  <si>
    <t>CORE SKILLS 5</t>
  </si>
  <si>
    <t>MOTIVAÇÕES 5</t>
  </si>
  <si>
    <t>SHORTLIST 6</t>
  </si>
  <si>
    <t>CANDIDATO 6</t>
  </si>
  <si>
    <t>IDADE 6</t>
  </si>
  <si>
    <t>POSIÇÃO ATUAL 6</t>
  </si>
  <si>
    <t>LOCALIDADE 6</t>
  </si>
  <si>
    <t>HISTÓRICO ACADÊMICO 6</t>
  </si>
  <si>
    <t>EXPERIÊNCIA PROFISSIONAL 6</t>
  </si>
  <si>
    <t>PRINCIPAIS PROJETOS DA CARREIRA 6</t>
  </si>
  <si>
    <t>PACOTE DE REMUNERAÇÃO ATUAL 6</t>
  </si>
  <si>
    <t>CORE SKILLS 6</t>
  </si>
  <si>
    <t>MOTIVAÇÕES 6</t>
  </si>
  <si>
    <t>SHORTLIST 7</t>
  </si>
  <si>
    <t>CANDIDATO 7</t>
  </si>
  <si>
    <t>IDADE 7</t>
  </si>
  <si>
    <t>POSIÇÃO ATUAL 7</t>
  </si>
  <si>
    <t>LOCALIDADE 7</t>
  </si>
  <si>
    <t>HISTÓRICO ACADÊMICO 7</t>
  </si>
  <si>
    <t>EXPERIÊNCIA PROFISSIONAL 7</t>
  </si>
  <si>
    <t>PRINCIPAIS PROJETOS DA CARREIRA 7</t>
  </si>
  <si>
    <t>PACOTE DE REMUNERAÇÃO ATUAL 7</t>
  </si>
  <si>
    <t>CORE SKILLS 7</t>
  </si>
  <si>
    <t>MOTIVAÇÕES 7</t>
  </si>
  <si>
    <t>SHORTLIST 8</t>
  </si>
  <si>
    <t>CANDIDATO 8</t>
  </si>
  <si>
    <t>IDADE 8</t>
  </si>
  <si>
    <t>POSIÇÃO ATUAL 8</t>
  </si>
  <si>
    <t>LOCALIDADE 8</t>
  </si>
  <si>
    <t>HISTÓRICO ACADÊMICO 8</t>
  </si>
  <si>
    <t>EXPERIÊNCIA PROFISSIONAL 8</t>
  </si>
  <si>
    <t>PRINCIPAIS PROJETOS DA CARREIRA 8</t>
  </si>
  <si>
    <t>PACOTE DE REMUNERAÇÃO ATUAL 8</t>
  </si>
  <si>
    <t>CORE SKILLS 8</t>
  </si>
  <si>
    <t>MOTIVAÇÕES 8</t>
  </si>
  <si>
    <t>SHORTLIST 9</t>
  </si>
  <si>
    <t>CANDIDATO 9</t>
  </si>
  <si>
    <t>IDADE 9</t>
  </si>
  <si>
    <t>POSIÇÃO ATUAL 9</t>
  </si>
  <si>
    <t>LOCALIDADE 9</t>
  </si>
  <si>
    <t>HISTÓRICO ACADÊMICO 9</t>
  </si>
  <si>
    <t>EXPERIÊNCIA PROFISSIONAL 9</t>
  </si>
  <si>
    <t>PRINCIPAIS PROJETOS DA CARREIRA 9</t>
  </si>
  <si>
    <t>PACOTE DE REMUNERAÇÃO ATUAL 9</t>
  </si>
  <si>
    <t>CORE SKILLS 9</t>
  </si>
  <si>
    <t>MOTIVAÇÕES 9</t>
  </si>
  <si>
    <t>SHORTLIST 10</t>
  </si>
  <si>
    <t>CANDIDATO 10</t>
  </si>
  <si>
    <t>IDADE 10</t>
  </si>
  <si>
    <t>POSIÇÃO ATUAL 10</t>
  </si>
  <si>
    <t>LOCALIDADE 10</t>
  </si>
  <si>
    <t>HISTÓRICO ACADÊMICO 10</t>
  </si>
  <si>
    <t>EXPERIÊNCIA PROFISSIONAL 10</t>
  </si>
  <si>
    <t>PRINCIPAIS PROJETOS DA CARREIRA 10</t>
  </si>
  <si>
    <t>PACOTE DE REMUNERAÇÃO ATUAL 10</t>
  </si>
  <si>
    <t>CORE SKILLS 10</t>
  </si>
  <si>
    <t>MOTIVAÇÕES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</si>
</sst>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#,##0.0000"/>
  </numFmts>
  <fonts count="30">
    <font>
      <sz val="10.0"/>
      <color rgb="FF000000"/>
      <name val="Arial"/>
      <scheme val="minor"/>
    </font>
    <font>
      <u/>
      <color rgb="FF0000FF"/>
    </font>
    <font>
      <color theme="1"/>
      <name val="Arial"/>
    </font>
    <font>
      <b/>
      <color rgb="FFFF0000"/>
      <name val="Arial"/>
    </font>
    <font>
      <b/>
      <sz val="30.0"/>
      <color theme="1"/>
      <name val="Arial"/>
    </font>
    <font>
      <sz val="20.0"/>
      <color theme="1"/>
      <name val="Arial"/>
    </font>
    <font>
      <b/>
      <color theme="1"/>
      <name val="Arial"/>
    </font>
    <font>
      <sz val="11.0"/>
      <color rgb="FFFF0000"/>
      <name val="Arial"/>
    </font>
    <font>
      <sz val="12.0"/>
      <color rgb="FFFFFFFF"/>
      <name val="Times New Roman"/>
    </font>
    <font/>
    <font>
      <color rgb="FFFFFFFF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E8E8E8"/>
      <name val="Arial"/>
    </font>
    <font>
      <u/>
      <color rgb="FF0000FF"/>
      <name val="Arial"/>
    </font>
    <font>
      <u/>
      <color rgb="FF1155CC"/>
      <name val="Arial"/>
    </font>
    <font>
      <b/>
      <sz val="11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i/>
      <color theme="1"/>
      <name val="Arial"/>
    </font>
    <font>
      <sz val="30.0"/>
      <color rgb="FFFFFFFF"/>
      <name val="Calibri"/>
    </font>
    <font>
      <b/>
      <sz val="18.0"/>
      <color rgb="FFFFFFFF"/>
      <name val="Calibri"/>
    </font>
    <font>
      <b/>
      <color rgb="FFFFFFFF"/>
      <name val="Calibri"/>
    </font>
    <font>
      <color theme="1"/>
      <name val="Calibri"/>
    </font>
    <font>
      <b/>
      <color theme="1"/>
      <name val="Calibri"/>
    </font>
    <font>
      <b/>
      <color rgb="FFFF0000"/>
      <name val="Calibri"/>
    </font>
    <font>
      <b/>
      <color rgb="FF000000"/>
      <name val="Arial"/>
    </font>
    <font>
      <b/>
      <sz val="9.0"/>
      <color theme="1"/>
      <name val="Arial"/>
    </font>
    <font>
      <sz val="9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22262B"/>
        <bgColor rgb="FF22262B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0C343D"/>
        <bgColor rgb="FF0C343D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shrinkToFit="0" vertical="center" wrapText="1"/>
    </xf>
    <xf borderId="2" fillId="3" fontId="5" numFmtId="0" xfId="0" applyAlignment="1" applyBorder="1" applyFont="1">
      <alignment shrinkToFit="0" vertical="center" wrapText="1"/>
    </xf>
    <xf borderId="0" fillId="2" fontId="2" numFmtId="0" xfId="0" applyFont="1"/>
    <xf borderId="3" fillId="3" fontId="6" numFmtId="0" xfId="0" applyAlignment="1" applyBorder="1" applyFont="1">
      <alignment horizontal="center" textRotation="90" vertical="center"/>
    </xf>
    <xf borderId="0" fillId="4" fontId="7" numFmtId="0" xfId="0" applyFill="1" applyFont="1"/>
    <xf borderId="0" fillId="4" fontId="8" numFmtId="0" xfId="0" applyFont="1"/>
    <xf borderId="4" fillId="2" fontId="2" numFmtId="0" xfId="0" applyAlignment="1" applyBorder="1" applyFont="1">
      <alignment vertical="bottom"/>
    </xf>
    <xf borderId="4" fillId="0" fontId="9" numFmtId="0" xfId="0" applyBorder="1" applyFont="1"/>
    <xf borderId="0" fillId="4" fontId="10" numFmtId="0" xfId="0" applyAlignment="1" applyFont="1">
      <alignment vertical="center"/>
    </xf>
    <xf borderId="3" fillId="3" fontId="6" numFmtId="0" xfId="0" applyAlignment="1" applyBorder="1" applyFont="1">
      <alignment horizontal="center" shrinkToFit="0" textRotation="90" vertical="center" wrapText="1"/>
    </xf>
    <xf borderId="5" fillId="0" fontId="9" numFmtId="0" xfId="0" applyBorder="1" applyFont="1"/>
    <xf borderId="6" fillId="4" fontId="8" numFmtId="0" xfId="0" applyBorder="1" applyFont="1"/>
    <xf borderId="0" fillId="2" fontId="6" numFmtId="0" xfId="0" applyFont="1"/>
    <xf borderId="0" fillId="2" fontId="3" numFmtId="0" xfId="0" applyFont="1"/>
    <xf borderId="0" fillId="2" fontId="3" numFmtId="0" xfId="0" applyAlignment="1" applyFont="1">
      <alignment shrinkToFit="0" wrapText="1"/>
    </xf>
    <xf borderId="0" fillId="2" fontId="11" numFmtId="0" xfId="0" applyAlignment="1" applyFont="1">
      <alignment horizontal="center" textRotation="90" vertical="center"/>
    </xf>
    <xf borderId="0" fillId="0" fontId="12" numFmtId="0" xfId="0" applyAlignment="1" applyFont="1">
      <alignment horizontal="center" readingOrder="0"/>
    </xf>
    <xf borderId="0" fillId="2" fontId="11" numFmtId="0" xfId="0" applyAlignment="1" applyFont="1">
      <alignment horizontal="center" textRotation="90" vertical="center"/>
    </xf>
    <xf borderId="0" fillId="0" fontId="13" numFmtId="0" xfId="0" applyAlignment="1" applyFont="1">
      <alignment readingOrder="0"/>
    </xf>
    <xf borderId="0" fillId="4" fontId="14" numFmtId="0" xfId="0" applyFont="1"/>
    <xf borderId="0" fillId="2" fontId="14" numFmtId="0" xfId="0" applyFont="1"/>
    <xf borderId="0" fillId="2" fontId="14" numFmtId="0" xfId="0" applyAlignment="1" applyFont="1">
      <alignment shrinkToFit="0" wrapText="1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5" fontId="6" numFmtId="0" xfId="0" applyFill="1" applyFont="1"/>
    <xf borderId="0" fillId="0" fontId="2" numFmtId="3" xfId="0" applyFont="1" applyNumberFormat="1"/>
    <xf borderId="0" fillId="0" fontId="2" numFmtId="4" xfId="0" applyFont="1" applyNumberFormat="1"/>
    <xf borderId="0" fillId="0" fontId="2" numFmtId="0" xfId="0" applyFont="1"/>
    <xf borderId="0" fillId="5" fontId="6" numFmtId="4" xfId="0" applyFont="1" applyNumberFormat="1"/>
    <xf borderId="0" fillId="6" fontId="2" numFmtId="4" xfId="0" applyFill="1" applyFont="1" applyNumberFormat="1"/>
    <xf borderId="0" fillId="0" fontId="2" numFmtId="165" xfId="0" applyFont="1" applyNumberFormat="1"/>
    <xf borderId="0" fillId="0" fontId="2" numFmtId="10" xfId="0" applyFont="1" applyNumberFormat="1"/>
    <xf borderId="0" fillId="5" fontId="17" numFmtId="0" xfId="0" applyAlignment="1" applyFont="1">
      <alignment horizontal="center" shrinkToFit="0" vertical="center" wrapText="1"/>
    </xf>
    <xf borderId="0" fillId="5" fontId="3" numFmtId="0" xfId="0" applyFont="1"/>
    <xf borderId="7" fillId="6" fontId="17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 shrinkToFit="0" wrapText="1"/>
    </xf>
    <xf borderId="0" fillId="5" fontId="6" numFmtId="0" xfId="0" applyAlignment="1" applyFont="1">
      <alignment horizontal="center" shrinkToFit="0" vertical="center" wrapText="1"/>
    </xf>
    <xf borderId="9" fillId="6" fontId="6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horizontal="center" shrinkToFit="0" wrapText="1"/>
    </xf>
    <xf borderId="0" fillId="5" fontId="19" numFmtId="0" xfId="0" applyAlignment="1" applyFont="1">
      <alignment horizontal="center" shrinkToFit="0" vertical="center" wrapText="1"/>
    </xf>
    <xf borderId="11" fillId="6" fontId="19" numFmtId="0" xfId="0" applyAlignment="1" applyBorder="1" applyFont="1">
      <alignment horizontal="center" shrinkToFit="0" wrapText="1"/>
    </xf>
    <xf borderId="12" fillId="0" fontId="20" numFmtId="0" xfId="0" applyAlignment="1" applyBorder="1" applyFont="1">
      <alignment horizontal="center" shrinkToFit="0" wrapText="1"/>
    </xf>
    <xf borderId="13" fillId="7" fontId="2" numFmtId="0" xfId="0" applyAlignment="1" applyBorder="1" applyFill="1" applyFont="1">
      <alignment vertical="bottom"/>
    </xf>
    <xf borderId="14" fillId="7" fontId="2" numFmtId="0" xfId="0" applyBorder="1" applyFont="1"/>
    <xf borderId="15" fillId="7" fontId="21" numFmtId="0" xfId="0" applyAlignment="1" applyBorder="1" applyFont="1">
      <alignment horizontal="center"/>
    </xf>
    <xf borderId="15" fillId="0" fontId="9" numFmtId="0" xfId="0" applyBorder="1" applyFont="1"/>
    <xf borderId="16" fillId="7" fontId="2" numFmtId="0" xfId="0" applyBorder="1" applyFont="1"/>
    <xf borderId="17" fillId="3" fontId="22" numFmtId="0" xfId="0" applyAlignment="1" applyBorder="1" applyFont="1">
      <alignment horizontal="center"/>
    </xf>
    <xf borderId="18" fillId="0" fontId="9" numFmtId="0" xfId="0" applyBorder="1" applyFont="1"/>
    <xf borderId="19" fillId="0" fontId="9" numFmtId="0" xfId="0" applyBorder="1" applyFont="1"/>
    <xf borderId="16" fillId="7" fontId="2" numFmtId="0" xfId="0" applyAlignment="1" applyBorder="1" applyFont="1">
      <alignment vertical="bottom"/>
    </xf>
    <xf borderId="16" fillId="3" fontId="23" numFmtId="0" xfId="0" applyAlignment="1" applyBorder="1" applyFont="1">
      <alignment horizontal="center" vertical="bottom"/>
    </xf>
    <xf borderId="17" fillId="8" fontId="23" numFmtId="0" xfId="0" applyAlignment="1" applyBorder="1" applyFill="1" applyFont="1">
      <alignment horizontal="center" vertical="bottom"/>
    </xf>
    <xf borderId="16" fillId="8" fontId="23" numFmtId="0" xfId="0" applyAlignment="1" applyBorder="1" applyFont="1">
      <alignment horizontal="center" vertical="bottom"/>
    </xf>
    <xf borderId="17" fillId="9" fontId="23" numFmtId="0" xfId="0" applyAlignment="1" applyBorder="1" applyFill="1" applyFont="1">
      <alignment horizontal="center" vertical="bottom"/>
    </xf>
    <xf borderId="16" fillId="0" fontId="24" numFmtId="0" xfId="0" applyAlignment="1" applyBorder="1" applyFont="1">
      <alignment vertical="bottom"/>
    </xf>
    <xf borderId="17" fillId="0" fontId="2" numFmtId="3" xfId="0" applyAlignment="1" applyBorder="1" applyFont="1" applyNumberFormat="1">
      <alignment vertical="bottom"/>
    </xf>
    <xf borderId="16" fillId="0" fontId="2" numFmtId="3" xfId="0" applyAlignment="1" applyBorder="1" applyFont="1" applyNumberFormat="1">
      <alignment vertical="bottom"/>
    </xf>
    <xf borderId="17" fillId="0" fontId="24" numFmtId="4" xfId="0" applyAlignment="1" applyBorder="1" applyFont="1" applyNumberFormat="1">
      <alignment vertical="bottom"/>
    </xf>
    <xf borderId="16" fillId="0" fontId="24" numFmtId="4" xfId="0" applyAlignment="1" applyBorder="1" applyFont="1" applyNumberFormat="1">
      <alignment vertical="bottom"/>
    </xf>
    <xf borderId="19" fillId="0" fontId="2" numFmtId="4" xfId="0" applyAlignment="1" applyBorder="1" applyFont="1" applyNumberFormat="1">
      <alignment vertical="bottom"/>
    </xf>
    <xf borderId="17" fillId="3" fontId="2" numFmtId="0" xfId="0" applyAlignment="1" applyBorder="1" applyFont="1">
      <alignment vertical="bottom"/>
    </xf>
    <xf borderId="18" fillId="3" fontId="2" numFmtId="0" xfId="0" applyAlignment="1" applyBorder="1" applyFont="1">
      <alignment vertical="bottom"/>
    </xf>
    <xf borderId="17" fillId="0" fontId="24" numFmtId="3" xfId="0" applyAlignment="1" applyBorder="1" applyFont="1" applyNumberFormat="1">
      <alignment horizontal="right" vertical="bottom"/>
    </xf>
    <xf borderId="17" fillId="0" fontId="2" numFmtId="165" xfId="0" applyAlignment="1" applyBorder="1" applyFont="1" applyNumberFormat="1">
      <alignment vertical="bottom"/>
    </xf>
    <xf borderId="0" fillId="7" fontId="2" numFmtId="0" xfId="0" applyAlignment="1" applyFont="1">
      <alignment vertical="bottom"/>
    </xf>
    <xf borderId="17" fillId="0" fontId="24" numFmtId="3" xfId="0" applyAlignment="1" applyBorder="1" applyFont="1" applyNumberFormat="1">
      <alignment vertical="bottom"/>
    </xf>
    <xf borderId="0" fillId="7" fontId="2" numFmtId="0" xfId="0" applyAlignment="1" applyFont="1">
      <alignment shrinkToFit="0" vertical="bottom" wrapText="0"/>
    </xf>
    <xf borderId="16" fillId="9" fontId="23" numFmtId="0" xfId="0" applyAlignment="1" applyBorder="1" applyFont="1">
      <alignment horizontal="center" shrinkToFit="0" vertical="bottom" wrapText="0"/>
    </xf>
    <xf borderId="17" fillId="0" fontId="25" numFmtId="3" xfId="0" applyAlignment="1" applyBorder="1" applyFont="1" applyNumberFormat="1">
      <alignment horizontal="right" shrinkToFit="0" vertical="bottom" wrapText="0"/>
    </xf>
    <xf borderId="17" fillId="10" fontId="2" numFmtId="3" xfId="0" applyAlignment="1" applyBorder="1" applyFill="1" applyFont="1" applyNumberFormat="1">
      <alignment shrinkToFit="0" vertical="bottom" wrapText="0"/>
    </xf>
    <xf borderId="17" fillId="0" fontId="25" numFmtId="10" xfId="0" applyAlignment="1" applyBorder="1" applyFont="1" applyNumberFormat="1">
      <alignment horizontal="center" shrinkToFit="0" vertical="bottom" wrapText="0"/>
    </xf>
    <xf borderId="16" fillId="3" fontId="23" numFmtId="0" xfId="0" applyAlignment="1" applyBorder="1" applyFont="1">
      <alignment horizontal="center" shrinkToFit="0" vertical="bottom" wrapText="0"/>
    </xf>
    <xf borderId="16" fillId="0" fontId="25" numFmtId="0" xfId="0" applyAlignment="1" applyBorder="1" applyFont="1">
      <alignment horizontal="center" shrinkToFit="0" vertical="bottom" wrapText="0"/>
    </xf>
    <xf borderId="16" fillId="0" fontId="25" numFmtId="3" xfId="0" applyAlignment="1" applyBorder="1" applyFont="1" applyNumberFormat="1">
      <alignment horizontal="right" shrinkToFit="0" vertical="bottom" wrapText="0"/>
    </xf>
    <xf borderId="17" fillId="0" fontId="2" numFmtId="3" xfId="0" applyAlignment="1" applyBorder="1" applyFont="1" applyNumberFormat="1">
      <alignment shrinkToFit="0" vertical="bottom" wrapText="0"/>
    </xf>
    <xf borderId="17" fillId="0" fontId="25" numFmtId="3" xfId="0" applyAlignment="1" applyBorder="1" applyFont="1" applyNumberFormat="1">
      <alignment horizontal="center" shrinkToFit="0" vertical="bottom" wrapText="0"/>
    </xf>
    <xf borderId="16" fillId="0" fontId="24" numFmtId="0" xfId="0" applyAlignment="1" applyBorder="1" applyFont="1">
      <alignment horizontal="right" vertical="bottom"/>
    </xf>
    <xf borderId="16" fillId="0" fontId="2" numFmtId="0" xfId="0" applyAlignment="1" applyBorder="1" applyFont="1">
      <alignment vertical="bottom"/>
    </xf>
    <xf borderId="16" fillId="0" fontId="25" numFmtId="0" xfId="0" applyAlignment="1" applyBorder="1" applyFont="1">
      <alignment vertical="bottom"/>
    </xf>
    <xf borderId="16" fillId="0" fontId="26" numFmtId="2" xfId="0" applyAlignment="1" applyBorder="1" applyFont="1" applyNumberFormat="1">
      <alignment horizontal="center" vertical="bottom"/>
    </xf>
    <xf borderId="16" fillId="7" fontId="24" numFmtId="0" xfId="0" applyAlignment="1" applyBorder="1" applyFont="1">
      <alignment vertical="bottom"/>
    </xf>
    <xf borderId="16" fillId="7" fontId="24" numFmtId="3" xfId="0" applyAlignment="1" applyBorder="1" applyFont="1" applyNumberFormat="1">
      <alignment horizontal="right" vertical="bottom"/>
    </xf>
    <xf borderId="16" fillId="7" fontId="24" numFmtId="2" xfId="0" applyAlignment="1" applyBorder="1" applyFont="1" applyNumberFormat="1">
      <alignment horizontal="right" vertical="bottom"/>
    </xf>
    <xf borderId="0" fillId="2" fontId="27" numFmtId="0" xfId="0" applyFont="1"/>
    <xf borderId="0" fillId="4" fontId="7" numFmtId="0" xfId="0" applyFont="1"/>
    <xf borderId="0" fillId="2" fontId="3" numFmtId="0" xfId="0" applyFont="1"/>
    <xf borderId="0" fillId="11" fontId="28" numFmtId="0" xfId="0" applyAlignment="1" applyFill="1" applyFont="1">
      <alignment vertical="bottom"/>
    </xf>
    <xf borderId="0" fillId="12" fontId="28" numFmtId="0" xfId="0" applyAlignment="1" applyFill="1" applyFont="1">
      <alignment vertical="bottom"/>
    </xf>
    <xf borderId="0" fillId="13" fontId="28" numFmtId="0" xfId="0" applyAlignment="1" applyFill="1" applyFont="1">
      <alignment vertical="bottom"/>
    </xf>
    <xf borderId="0" fillId="0" fontId="29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Shortlist-style">
      <tableStyleElement dxfId="1" type="firstRowStripe"/>
      <tableStyleElement dxfId="2" type="secondRowStripe"/>
    </tableStyle>
    <tableStyle count="2" pivot="0" name="Tomada de Decisã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M1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ort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B1:I12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omada de Decis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9cdce629-6d32-498a-bfb4-7757522fa196" TargetMode="External"/><Relationship Id="rId2" Type="http://schemas.openxmlformats.org/officeDocument/2006/relationships/hyperlink" Target="https://lookerstudio.google.com/reporting/db99bc0d-dc81-40dd-95de-5e238912757a" TargetMode="External"/><Relationship Id="rId3" Type="http://schemas.openxmlformats.org/officeDocument/2006/relationships/hyperlink" Target="https://docs.google.com/document/d/1FBQdMHnDKu-VM5wOdm9cQrkibZo1__Qj7HMOQ__FZ0Y/edit?tab=t.0" TargetMode="External"/><Relationship Id="rId4" Type="http://schemas.openxmlformats.org/officeDocument/2006/relationships/hyperlink" Target="https://docs.google.com/document/d/1UTwg8K2eZ4pX8JUuxJH4eF8jVtqGNG3vhHgrzviSC5g/edit?tab=t.0" TargetMode="External"/><Relationship Id="rId5" Type="http://schemas.openxmlformats.org/officeDocument/2006/relationships/hyperlink" Target="https://docs.google.com/document/d/1DXPxchN1QJ08kWfNoOtzZoNU23NW2cRiX6blcF8vNpY/edit?tab=t.0" TargetMode="External"/><Relationship Id="rId6" Type="http://schemas.openxmlformats.org/officeDocument/2006/relationships/hyperlink" Target="https://lookerstudio.google.com/reporting/ff72a3b8-f6de-42e4-a33c-2ca5545768e6" TargetMode="External"/><Relationship Id="rId7" Type="http://schemas.openxmlformats.org/officeDocument/2006/relationships/hyperlink" Target="https://docs.google.com/document/d/1keQ1rsyLtj8NywBTKPgRrSnVewqwGIpzcKpnZleMv8I/edit?tab=t.0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cruit.zoho.com/recruit/org673033713/EntityInfo.do?id=480099000000542280&amp;module=Leads&amp;submodule=Leads&amp;assoJOId=480099000035500648&amp;lookback=assoLis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62.38"/>
    <col customWidth="1" min="3" max="6" width="12.63"/>
  </cols>
  <sheetData>
    <row r="1" ht="15.75" customHeight="1"/>
    <row r="2" ht="15.75" customHeight="1">
      <c r="B2" s="1" t="s">
        <v>0</v>
      </c>
    </row>
    <row r="3" ht="15.75" customHeight="1">
      <c r="B3" s="1" t="s">
        <v>1</v>
      </c>
    </row>
    <row r="4" ht="15.75" customHeight="1">
      <c r="B4" s="1" t="s">
        <v>2</v>
      </c>
    </row>
    <row r="5" ht="15.75" customHeight="1">
      <c r="B5" s="1" t="s">
        <v>3</v>
      </c>
    </row>
    <row r="6" ht="15.75" customHeight="1">
      <c r="B6" s="1" t="s">
        <v>4</v>
      </c>
    </row>
    <row r="7" ht="15.75" customHeight="1"/>
    <row r="8" ht="15.75" customHeight="1">
      <c r="B8" s="1" t="s">
        <v>5</v>
      </c>
    </row>
    <row r="9" ht="15.75" customHeight="1">
      <c r="B9" s="1" t="s">
        <v>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8"/>
    <hyperlink r:id="rId7" ref="B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7.88"/>
    <col customWidth="1" min="3" max="3" width="55.0"/>
    <col customWidth="1" min="4" max="4" width="78.63"/>
    <col customWidth="1" min="5" max="5" width="5.88"/>
    <col customWidth="1" min="6" max="6" width="12.63"/>
  </cols>
  <sheetData>
    <row r="1" ht="15.75" customHeight="1">
      <c r="A1" s="2"/>
      <c r="B1" s="2"/>
      <c r="C1" s="3"/>
      <c r="D1" s="2"/>
      <c r="E1" s="2"/>
    </row>
    <row r="2" ht="15.75" customHeight="1">
      <c r="A2" s="2"/>
      <c r="B2" s="2"/>
      <c r="C2" s="4" t="s">
        <v>7</v>
      </c>
      <c r="D2" s="5" t="s">
        <v>8</v>
      </c>
      <c r="E2" s="2"/>
    </row>
    <row r="3" ht="45.75" customHeight="1">
      <c r="A3" s="6"/>
      <c r="B3" s="7" t="s">
        <v>9</v>
      </c>
      <c r="C3" s="8" t="s">
        <v>10</v>
      </c>
      <c r="D3" s="9"/>
      <c r="E3" s="10"/>
    </row>
    <row r="4" ht="45.75" customHeight="1">
      <c r="A4" s="6"/>
      <c r="B4" s="11"/>
      <c r="C4" s="12"/>
      <c r="D4" s="9"/>
      <c r="E4" s="10"/>
    </row>
    <row r="5" ht="45.75" customHeight="1">
      <c r="A5" s="6"/>
      <c r="B5" s="11"/>
      <c r="C5" s="12"/>
      <c r="D5" s="9"/>
      <c r="E5" s="10"/>
    </row>
    <row r="6" ht="45.75" customHeight="1">
      <c r="A6" s="6"/>
      <c r="B6" s="11"/>
      <c r="C6" s="12"/>
      <c r="D6" s="9"/>
      <c r="E6" s="10"/>
    </row>
    <row r="7" ht="15.75" customHeight="1">
      <c r="A7" s="6"/>
      <c r="B7" s="13" t="s">
        <v>11</v>
      </c>
      <c r="C7" s="12"/>
      <c r="D7" s="9"/>
      <c r="E7" s="6"/>
    </row>
    <row r="8" ht="15.75" customHeight="1">
      <c r="A8" s="6"/>
      <c r="B8" s="11"/>
      <c r="C8" s="12"/>
      <c r="D8" s="9"/>
      <c r="E8" s="6"/>
    </row>
    <row r="9" ht="15.75" customHeight="1">
      <c r="A9" s="6"/>
      <c r="B9" s="11"/>
      <c r="C9" s="12"/>
      <c r="D9" s="9"/>
      <c r="E9" s="6"/>
    </row>
    <row r="10" ht="15.75" customHeight="1">
      <c r="A10" s="6"/>
      <c r="B10" s="11"/>
      <c r="C10" s="12"/>
      <c r="D10" s="9"/>
      <c r="E10" s="6"/>
    </row>
    <row r="11" ht="15.75" customHeight="1">
      <c r="A11" s="6"/>
      <c r="B11" s="11"/>
      <c r="C11" s="12"/>
      <c r="D11" s="9"/>
      <c r="E11" s="6"/>
    </row>
    <row r="12" ht="15.75" customHeight="1">
      <c r="A12" s="6"/>
      <c r="B12" s="11"/>
      <c r="C12" s="12"/>
      <c r="D12" s="9"/>
      <c r="E12" s="6"/>
    </row>
    <row r="13" ht="15.75" customHeight="1">
      <c r="A13" s="2"/>
      <c r="B13" s="11"/>
      <c r="C13" s="12"/>
      <c r="D13" s="9"/>
      <c r="E13" s="2"/>
    </row>
    <row r="14" ht="15.75" customHeight="1">
      <c r="A14" s="2"/>
      <c r="B14" s="13" t="s">
        <v>12</v>
      </c>
      <c r="C14" s="12"/>
      <c r="D14" s="9"/>
      <c r="E14" s="2"/>
    </row>
    <row r="15" ht="15.75" customHeight="1">
      <c r="A15" s="2"/>
      <c r="B15" s="11"/>
      <c r="C15" s="12"/>
      <c r="D15" s="9"/>
      <c r="E15" s="2"/>
    </row>
    <row r="16" ht="15.75" customHeight="1">
      <c r="A16" s="2"/>
      <c r="B16" s="11"/>
      <c r="C16" s="12"/>
      <c r="D16" s="9"/>
      <c r="E16" s="2"/>
    </row>
    <row r="17" ht="15.75" customHeight="1">
      <c r="A17" s="2"/>
      <c r="B17" s="11"/>
      <c r="C17" s="12"/>
      <c r="D17" s="9"/>
      <c r="E17" s="2"/>
    </row>
    <row r="18" ht="15.75" customHeight="1">
      <c r="A18" s="2"/>
      <c r="B18" s="11"/>
      <c r="C18" s="12"/>
      <c r="D18" s="9"/>
      <c r="E18" s="2"/>
    </row>
    <row r="19" ht="15.75" customHeight="1">
      <c r="A19" s="2"/>
      <c r="B19" s="14"/>
      <c r="C19" s="12"/>
      <c r="D19" s="15"/>
      <c r="E19" s="2"/>
    </row>
    <row r="20" ht="15.75" customHeight="1">
      <c r="A20" s="2"/>
      <c r="B20" s="2"/>
      <c r="C20" s="2"/>
      <c r="D20" s="2"/>
      <c r="E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B6"/>
    <mergeCell ref="B7:B13"/>
    <mergeCell ref="B14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6" width="17.75"/>
    <col customWidth="1" min="7" max="12" width="22.13"/>
    <col customWidth="1" min="13" max="13" width="5.88"/>
  </cols>
  <sheetData>
    <row r="1" ht="15.75" customHeight="1">
      <c r="A1" s="16"/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6"/>
    </row>
    <row r="2" ht="15.75" customHeight="1">
      <c r="A2" s="19"/>
      <c r="B2" s="20" t="s">
        <v>13</v>
      </c>
      <c r="C2" s="20" t="s">
        <v>14</v>
      </c>
      <c r="D2" s="20" t="s">
        <v>15</v>
      </c>
      <c r="E2" s="20" t="s">
        <v>16</v>
      </c>
      <c r="F2" s="20" t="s">
        <v>17</v>
      </c>
      <c r="G2" s="20" t="s">
        <v>18</v>
      </c>
      <c r="H2" s="20" t="s">
        <v>19</v>
      </c>
      <c r="I2" s="20" t="s">
        <v>20</v>
      </c>
      <c r="J2" s="20" t="s">
        <v>21</v>
      </c>
      <c r="K2" s="20" t="s">
        <v>22</v>
      </c>
      <c r="L2" s="20" t="s">
        <v>23</v>
      </c>
      <c r="M2" s="21"/>
    </row>
    <row r="3" ht="15.75" customHeight="1">
      <c r="A3" s="19"/>
      <c r="B3" s="22" t="s">
        <v>24</v>
      </c>
      <c r="C3" s="22" t="s">
        <v>25</v>
      </c>
      <c r="D3" s="22" t="s">
        <v>26</v>
      </c>
      <c r="E3" s="22" t="s">
        <v>27</v>
      </c>
      <c r="F3" s="22" t="s">
        <v>26</v>
      </c>
      <c r="G3" s="22" t="s">
        <v>26</v>
      </c>
      <c r="H3" s="22" t="s">
        <v>28</v>
      </c>
      <c r="I3" s="22" t="s">
        <v>29</v>
      </c>
      <c r="J3" s="22" t="s">
        <v>30</v>
      </c>
      <c r="K3" s="22" t="s">
        <v>31</v>
      </c>
      <c r="L3" s="22" t="s">
        <v>32</v>
      </c>
      <c r="M3" s="21"/>
    </row>
    <row r="4" ht="15.75" customHeight="1">
      <c r="A4" s="19"/>
      <c r="B4" s="22" t="s">
        <v>33</v>
      </c>
      <c r="C4" s="22" t="s">
        <v>34</v>
      </c>
      <c r="D4" s="22">
        <v>31.0</v>
      </c>
      <c r="E4" s="22" t="s">
        <v>35</v>
      </c>
      <c r="F4" s="22" t="s">
        <v>36</v>
      </c>
      <c r="G4" s="22" t="s">
        <v>37</v>
      </c>
      <c r="H4" s="22" t="s">
        <v>38</v>
      </c>
      <c r="I4" s="22" t="s">
        <v>39</v>
      </c>
      <c r="J4" s="22" t="s">
        <v>40</v>
      </c>
      <c r="K4" s="22" t="s">
        <v>41</v>
      </c>
      <c r="L4" s="22" t="s">
        <v>42</v>
      </c>
      <c r="M4" s="21"/>
    </row>
    <row r="5" ht="15.75" customHeight="1">
      <c r="A5" s="19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1"/>
    </row>
    <row r="6" ht="15.75" customHeight="1">
      <c r="A6" s="19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1"/>
    </row>
    <row r="7" ht="15.75" customHeight="1">
      <c r="A7" s="1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1"/>
    </row>
    <row r="8" ht="15.75" customHeight="1">
      <c r="A8" s="19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1"/>
    </row>
    <row r="9" ht="15.75" customHeight="1">
      <c r="A9" s="19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1"/>
    </row>
    <row r="10" ht="15.75" customHeight="1">
      <c r="A10" s="19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1"/>
    </row>
    <row r="11" ht="15.75" customHeight="1">
      <c r="A11" s="1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1"/>
    </row>
    <row r="12" ht="15.75" customHeight="1">
      <c r="A12" s="16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" t="s">
        <v>43</v>
      </c>
      <c r="B1" s="26" t="s">
        <v>44</v>
      </c>
      <c r="C1" s="27" t="s">
        <v>45</v>
      </c>
      <c r="D1" s="28" t="s">
        <v>46</v>
      </c>
      <c r="E1" s="28" t="s">
        <v>47</v>
      </c>
      <c r="F1" s="28" t="s">
        <v>48</v>
      </c>
      <c r="G1" s="29" t="s">
        <v>49</v>
      </c>
      <c r="H1" s="26" t="s">
        <v>50</v>
      </c>
      <c r="I1" s="26" t="s">
        <v>51</v>
      </c>
      <c r="J1" s="29" t="s">
        <v>52</v>
      </c>
      <c r="K1" s="26" t="s">
        <v>53</v>
      </c>
      <c r="L1" s="26" t="s">
        <v>54</v>
      </c>
      <c r="M1" s="26" t="s">
        <v>55</v>
      </c>
      <c r="N1" s="28" t="s">
        <v>56</v>
      </c>
      <c r="O1" s="26" t="s">
        <v>57</v>
      </c>
      <c r="P1" s="26" t="s">
        <v>58</v>
      </c>
      <c r="Q1" s="26" t="s">
        <v>59</v>
      </c>
      <c r="R1" s="26" t="s">
        <v>60</v>
      </c>
      <c r="S1" s="26" t="s">
        <v>61</v>
      </c>
      <c r="T1" s="29" t="s">
        <v>62</v>
      </c>
      <c r="U1" s="29" t="s">
        <v>63</v>
      </c>
      <c r="V1" s="29" t="s">
        <v>64</v>
      </c>
      <c r="W1" s="29" t="s">
        <v>65</v>
      </c>
      <c r="X1" s="26" t="s">
        <v>66</v>
      </c>
      <c r="Y1" s="26" t="s">
        <v>67</v>
      </c>
      <c r="Z1" s="26" t="s">
        <v>68</v>
      </c>
    </row>
    <row r="2" ht="15.75" customHeight="1">
      <c r="A2" s="30" t="s">
        <v>69</v>
      </c>
      <c r="B2" s="31" t="s">
        <v>69</v>
      </c>
      <c r="C2" s="30" t="s">
        <v>69</v>
      </c>
      <c r="D2" s="32" t="s">
        <v>70</v>
      </c>
      <c r="E2" s="33">
        <v>30000.0</v>
      </c>
      <c r="F2" s="33">
        <v>30000.0</v>
      </c>
      <c r="G2" s="30" t="s">
        <v>69</v>
      </c>
      <c r="H2" s="30" t="s">
        <v>69</v>
      </c>
      <c r="I2" s="30" t="s">
        <v>69</v>
      </c>
      <c r="J2" s="30" t="s">
        <v>69</v>
      </c>
      <c r="K2" s="30" t="s">
        <v>69</v>
      </c>
      <c r="L2" s="30" t="s">
        <v>69</v>
      </c>
      <c r="M2" s="30" t="s">
        <v>69</v>
      </c>
      <c r="N2" s="33">
        <v>30000.0</v>
      </c>
      <c r="O2" s="30" t="s">
        <v>69</v>
      </c>
      <c r="P2" s="30" t="s">
        <v>69</v>
      </c>
      <c r="Q2" s="30" t="s">
        <v>69</v>
      </c>
      <c r="R2" s="30" t="s">
        <v>69</v>
      </c>
      <c r="S2" s="30" t="s">
        <v>69</v>
      </c>
      <c r="T2" s="34" t="s">
        <v>69</v>
      </c>
      <c r="U2" s="34">
        <f>(F2/E2)-1</f>
        <v>0</v>
      </c>
      <c r="V2" s="34">
        <f>ROUNDDOWN(N2/E2,0)</f>
        <v>1</v>
      </c>
      <c r="W2" s="33">
        <f>13.33*E2+N2</f>
        <v>429900</v>
      </c>
      <c r="X2" s="33" t="str">
        <f>IF(W2&lt;100000,"abaixo de R$100.000",IF(AND(W2&gt;=100000,W2&lt;200000),"R$100.000 - R$200.000",IF(AND(W2&gt;=200000,W2&lt;300000),"R$200.000 - R$300.000",IF(AND(W2&gt;=300000,W2&lt;400000),"R$300.000 - R$400.000",IF(AND(W2&gt;=400000,W2&lt;500000),"R$400.000 - R$500.000",IF(AND(W2&gt;=500000,W2&lt;600000),"R$500.000 - R$600.000",IF(AND(W2&gt;=600000,W2&lt;700000),"R$600.000 - R$700.000",IF(AND(W2&gt;=700000,W2&lt;800000),"R$700.000 - R$800.000",IF(AND(W2&gt;=800000,W2&lt;900000),"R$800.000 - R$900.000",IF(AND(W2&gt;=900000,W2&lt;1000000),"R$900.000 - R$1.000.000","Superior a R$1.000.000"))))))))))</f>
        <v>R$400.000 - R$500.000</v>
      </c>
      <c r="Y2" s="33">
        <f>W2+(W2*U2)</f>
        <v>429900</v>
      </c>
      <c r="Z2" s="30" t="str">
        <f>IF(Y2&lt;100000,"abaixo de R$100.000",IF(AND(Y2&gt;=100000,Y2&lt;200000),"R$100.000 - R$200.000",IF(AND(Y2&gt;=200000,Y2&lt;300000),"R$200.000 - R$300.000",IF(AND(Y2&gt;=300000,Y2&lt;400000),"R$300.000 - R$400.000",IF(AND(Y2&gt;=400000,Y2&lt;500000),"R$400.000 - R$500.000",IF(AND(Y2&gt;=500000,Y2&lt;600000),"R$500.000 - R$600.000",IF(AND(Y2&gt;=600000,Y2&lt;700000),"R$600.000 - R$700.000",IF(AND(Y2&gt;=700000,Y2&lt;800000),"R$700.000 - R$800.000",IF(AND(Y2&gt;=800000,Y2&lt;900000),"R$800.000 - R$900.000",IF(AND(Y2&gt;=900000,Y2&lt;1000000),"R$900.000 - R$1.000.000","Superior a R$1.000.000"))))))))))</f>
        <v>R$400.000 - R$500.000</v>
      </c>
    </row>
    <row r="3" ht="15.75" customHeight="1">
      <c r="A3" s="30"/>
      <c r="B3" s="30"/>
      <c r="C3" s="30"/>
      <c r="D3" s="32"/>
      <c r="E3" s="33"/>
      <c r="F3" s="33"/>
      <c r="G3" s="30"/>
      <c r="H3" s="30"/>
      <c r="I3" s="30"/>
      <c r="J3" s="30"/>
      <c r="K3" s="30"/>
      <c r="L3" s="30"/>
      <c r="M3" s="30"/>
      <c r="N3" s="33"/>
      <c r="O3" s="30"/>
      <c r="P3" s="30"/>
      <c r="Q3" s="30"/>
      <c r="R3" s="30"/>
      <c r="S3" s="30"/>
      <c r="T3" s="30"/>
      <c r="U3" s="34"/>
      <c r="V3" s="34"/>
      <c r="W3" s="33"/>
      <c r="X3" s="33"/>
      <c r="Y3" s="33"/>
      <c r="Z3" s="30"/>
    </row>
    <row r="4" ht="15.75" customHeight="1">
      <c r="A4" s="30"/>
      <c r="B4" s="30"/>
      <c r="C4" s="30"/>
      <c r="D4" s="32"/>
      <c r="E4" s="33"/>
      <c r="F4" s="33"/>
      <c r="G4" s="30"/>
      <c r="H4" s="30"/>
      <c r="I4" s="30"/>
      <c r="J4" s="30"/>
      <c r="K4" s="30"/>
      <c r="L4" s="30"/>
      <c r="M4" s="30"/>
      <c r="N4" s="33"/>
      <c r="O4" s="30"/>
      <c r="P4" s="30"/>
      <c r="Q4" s="30"/>
      <c r="R4" s="30"/>
      <c r="S4" s="30"/>
      <c r="T4" s="30"/>
      <c r="U4" s="34"/>
      <c r="V4" s="34"/>
      <c r="W4" s="33"/>
      <c r="X4" s="33"/>
      <c r="Y4" s="33"/>
      <c r="Z4" s="30"/>
    </row>
    <row r="5" ht="15.75" customHeight="1">
      <c r="A5" s="30"/>
      <c r="B5" s="30"/>
      <c r="C5" s="30"/>
      <c r="D5" s="32"/>
      <c r="E5" s="33"/>
      <c r="F5" s="33"/>
      <c r="G5" s="30"/>
      <c r="H5" s="30"/>
      <c r="I5" s="30"/>
      <c r="J5" s="30"/>
      <c r="K5" s="30"/>
      <c r="L5" s="30"/>
      <c r="M5" s="30"/>
      <c r="N5" s="33"/>
      <c r="O5" s="30"/>
      <c r="P5" s="30"/>
      <c r="Q5" s="30"/>
      <c r="R5" s="30"/>
      <c r="S5" s="30"/>
      <c r="T5" s="30"/>
      <c r="U5" s="34"/>
      <c r="V5" s="34"/>
      <c r="W5" s="33"/>
      <c r="X5" s="33"/>
      <c r="Y5" s="33"/>
      <c r="Z5" s="30"/>
    </row>
    <row r="6" ht="15.75" customHeight="1">
      <c r="A6" s="30"/>
      <c r="B6" s="30"/>
      <c r="C6" s="30"/>
      <c r="D6" s="32"/>
      <c r="E6" s="33"/>
      <c r="F6" s="33"/>
      <c r="G6" s="30"/>
      <c r="H6" s="30"/>
      <c r="I6" s="30"/>
      <c r="J6" s="30"/>
      <c r="K6" s="30"/>
      <c r="L6" s="30"/>
      <c r="M6" s="30"/>
      <c r="N6" s="33"/>
      <c r="O6" s="30"/>
      <c r="P6" s="30"/>
      <c r="Q6" s="30"/>
      <c r="R6" s="30"/>
      <c r="S6" s="30"/>
      <c r="T6" s="30"/>
      <c r="U6" s="34"/>
      <c r="V6" s="34"/>
      <c r="W6" s="33"/>
      <c r="X6" s="33"/>
      <c r="Y6" s="33"/>
      <c r="Z6" s="30"/>
    </row>
    <row r="7" ht="15.75" customHeight="1">
      <c r="A7" s="30"/>
      <c r="B7" s="30"/>
      <c r="C7" s="30"/>
      <c r="D7" s="32"/>
      <c r="E7" s="33"/>
      <c r="F7" s="33"/>
      <c r="G7" s="30"/>
      <c r="H7" s="30"/>
      <c r="I7" s="30"/>
      <c r="J7" s="30"/>
      <c r="K7" s="30"/>
      <c r="L7" s="30"/>
      <c r="M7" s="30"/>
      <c r="N7" s="33"/>
      <c r="O7" s="30"/>
      <c r="P7" s="30"/>
      <c r="Q7" s="30"/>
      <c r="R7" s="30"/>
      <c r="S7" s="30"/>
      <c r="T7" s="30"/>
      <c r="U7" s="34"/>
      <c r="V7" s="34"/>
      <c r="W7" s="33"/>
      <c r="X7" s="33"/>
      <c r="Y7" s="33"/>
      <c r="Z7" s="30"/>
    </row>
    <row r="8" ht="15.75" customHeight="1">
      <c r="A8" s="30"/>
      <c r="B8" s="30"/>
      <c r="C8" s="30"/>
      <c r="D8" s="32"/>
      <c r="E8" s="33"/>
      <c r="F8" s="33"/>
      <c r="G8" s="30"/>
      <c r="H8" s="30"/>
      <c r="I8" s="30"/>
      <c r="J8" s="30"/>
      <c r="K8" s="30"/>
      <c r="L8" s="30"/>
      <c r="M8" s="30"/>
      <c r="N8" s="33"/>
      <c r="O8" s="30"/>
      <c r="P8" s="30"/>
      <c r="Q8" s="30"/>
      <c r="R8" s="30"/>
      <c r="S8" s="30"/>
      <c r="T8" s="30"/>
      <c r="U8" s="34"/>
      <c r="V8" s="34"/>
      <c r="W8" s="33"/>
      <c r="X8" s="33"/>
      <c r="Y8" s="33"/>
      <c r="Z8" s="30"/>
    </row>
    <row r="9" ht="15.75" customHeight="1">
      <c r="A9" s="30"/>
      <c r="B9" s="30"/>
      <c r="C9" s="30"/>
      <c r="D9" s="32"/>
      <c r="E9" s="33"/>
      <c r="F9" s="33"/>
      <c r="G9" s="30"/>
      <c r="H9" s="30"/>
      <c r="I9" s="30"/>
      <c r="J9" s="30"/>
      <c r="K9" s="30"/>
      <c r="L9" s="30"/>
      <c r="M9" s="30"/>
      <c r="N9" s="33"/>
      <c r="O9" s="30"/>
      <c r="P9" s="30"/>
      <c r="Q9" s="30"/>
      <c r="R9" s="30"/>
      <c r="S9" s="30"/>
      <c r="T9" s="30"/>
      <c r="U9" s="34"/>
      <c r="V9" s="34"/>
      <c r="W9" s="33"/>
      <c r="X9" s="33"/>
      <c r="Y9" s="33"/>
      <c r="Z9" s="30"/>
    </row>
    <row r="10" ht="15.75" customHeight="1">
      <c r="A10" s="30"/>
      <c r="B10" s="30"/>
      <c r="C10" s="30"/>
      <c r="D10" s="32"/>
      <c r="E10" s="33"/>
      <c r="F10" s="33"/>
      <c r="G10" s="30"/>
      <c r="H10" s="30"/>
      <c r="I10" s="30"/>
      <c r="J10" s="30"/>
      <c r="K10" s="30"/>
      <c r="L10" s="30"/>
      <c r="M10" s="30"/>
      <c r="N10" s="33"/>
      <c r="O10" s="30"/>
      <c r="P10" s="30"/>
      <c r="Q10" s="30"/>
      <c r="R10" s="30"/>
      <c r="S10" s="30"/>
      <c r="T10" s="30"/>
      <c r="U10" s="34"/>
      <c r="V10" s="34"/>
      <c r="W10" s="33"/>
      <c r="X10" s="33"/>
      <c r="Y10" s="33"/>
      <c r="Z10" s="30"/>
    </row>
    <row r="11" ht="15.75" customHeight="1">
      <c r="A11" s="30"/>
      <c r="B11" s="30"/>
      <c r="C11" s="30"/>
      <c r="D11" s="32"/>
      <c r="E11" s="33"/>
      <c r="F11" s="33"/>
      <c r="G11" s="30"/>
      <c r="H11" s="30"/>
      <c r="I11" s="30"/>
      <c r="J11" s="30"/>
      <c r="K11" s="30"/>
      <c r="L11" s="30"/>
      <c r="M11" s="30"/>
      <c r="N11" s="33"/>
      <c r="O11" s="30"/>
      <c r="P11" s="30"/>
      <c r="Q11" s="30"/>
      <c r="R11" s="30"/>
      <c r="S11" s="30"/>
      <c r="T11" s="30"/>
      <c r="U11" s="34"/>
      <c r="V11" s="34"/>
      <c r="W11" s="33"/>
      <c r="X11" s="33"/>
      <c r="Y11" s="33"/>
      <c r="Z11" s="30"/>
    </row>
    <row r="12" ht="15.75" customHeight="1">
      <c r="A12" s="30"/>
      <c r="B12" s="30"/>
      <c r="C12" s="30"/>
      <c r="D12" s="32"/>
      <c r="E12" s="33"/>
      <c r="F12" s="33"/>
      <c r="G12" s="30"/>
      <c r="H12" s="30"/>
      <c r="I12" s="30"/>
      <c r="J12" s="30"/>
      <c r="K12" s="30"/>
      <c r="L12" s="30"/>
      <c r="M12" s="30"/>
      <c r="N12" s="33"/>
      <c r="O12" s="30"/>
      <c r="P12" s="30"/>
      <c r="Q12" s="30"/>
      <c r="R12" s="30"/>
      <c r="S12" s="30"/>
      <c r="T12" s="30"/>
      <c r="U12" s="34"/>
      <c r="V12" s="34"/>
      <c r="W12" s="33"/>
      <c r="X12" s="33"/>
      <c r="Y12" s="33"/>
      <c r="Z12" s="30"/>
    </row>
    <row r="13" ht="15.75" customHeight="1">
      <c r="A13" s="30"/>
      <c r="B13" s="30"/>
      <c r="C13" s="30"/>
      <c r="D13" s="32"/>
      <c r="E13" s="33"/>
      <c r="F13" s="33"/>
      <c r="G13" s="30"/>
      <c r="H13" s="30"/>
      <c r="I13" s="30"/>
      <c r="J13" s="30"/>
      <c r="K13" s="30"/>
      <c r="L13" s="30"/>
      <c r="M13" s="30"/>
      <c r="N13" s="33"/>
      <c r="O13" s="30"/>
      <c r="P13" s="30"/>
      <c r="Q13" s="30"/>
      <c r="R13" s="30"/>
      <c r="S13" s="30"/>
      <c r="T13" s="30"/>
      <c r="U13" s="34"/>
      <c r="V13" s="34"/>
      <c r="W13" s="33"/>
      <c r="X13" s="33"/>
      <c r="Y13" s="33"/>
      <c r="Z13" s="30"/>
    </row>
    <row r="14" ht="15.75" customHeight="1">
      <c r="A14" s="30"/>
      <c r="B14" s="30"/>
      <c r="C14" s="30"/>
      <c r="D14" s="32"/>
      <c r="E14" s="33"/>
      <c r="F14" s="33"/>
      <c r="G14" s="30"/>
      <c r="H14" s="30"/>
      <c r="I14" s="30"/>
      <c r="J14" s="30"/>
      <c r="K14" s="30"/>
      <c r="L14" s="30"/>
      <c r="M14" s="30"/>
      <c r="N14" s="33"/>
      <c r="O14" s="30"/>
      <c r="P14" s="30"/>
      <c r="Q14" s="30"/>
      <c r="R14" s="30"/>
      <c r="S14" s="30"/>
      <c r="T14" s="30"/>
      <c r="U14" s="34"/>
      <c r="V14" s="34"/>
      <c r="W14" s="33"/>
      <c r="X14" s="33"/>
      <c r="Y14" s="33"/>
      <c r="Z14" s="30"/>
    </row>
    <row r="15" ht="15.75" customHeight="1">
      <c r="A15" s="30"/>
      <c r="B15" s="30"/>
      <c r="C15" s="30"/>
      <c r="D15" s="32"/>
      <c r="E15" s="33"/>
      <c r="F15" s="33"/>
      <c r="G15" s="30"/>
      <c r="H15" s="30"/>
      <c r="I15" s="30"/>
      <c r="J15" s="30"/>
      <c r="K15" s="30"/>
      <c r="L15" s="30"/>
      <c r="M15" s="30"/>
      <c r="N15" s="33"/>
      <c r="O15" s="30"/>
      <c r="P15" s="30"/>
      <c r="Q15" s="30"/>
      <c r="R15" s="30"/>
      <c r="S15" s="30"/>
      <c r="T15" s="30"/>
      <c r="U15" s="34"/>
      <c r="V15" s="34"/>
      <c r="W15" s="33"/>
      <c r="X15" s="33"/>
      <c r="Y15" s="33"/>
      <c r="Z15" s="30"/>
    </row>
    <row r="16" ht="15.75" customHeight="1">
      <c r="A16" s="30"/>
      <c r="B16" s="30"/>
      <c r="C16" s="30"/>
      <c r="D16" s="32"/>
      <c r="E16" s="33"/>
      <c r="F16" s="33"/>
      <c r="G16" s="30"/>
      <c r="H16" s="30"/>
      <c r="I16" s="30"/>
      <c r="J16" s="30"/>
      <c r="K16" s="30"/>
      <c r="L16" s="30"/>
      <c r="M16" s="30"/>
      <c r="N16" s="33"/>
      <c r="O16" s="30"/>
      <c r="P16" s="30"/>
      <c r="Q16" s="30"/>
      <c r="R16" s="30"/>
      <c r="S16" s="30"/>
      <c r="T16" s="30"/>
      <c r="U16" s="34"/>
      <c r="V16" s="34"/>
      <c r="W16" s="33"/>
      <c r="X16" s="33"/>
      <c r="Y16" s="33"/>
      <c r="Z16" s="30"/>
    </row>
    <row r="17" ht="15.75" customHeight="1">
      <c r="A17" s="30"/>
      <c r="B17" s="30"/>
      <c r="C17" s="30"/>
      <c r="D17" s="32"/>
      <c r="E17" s="33"/>
      <c r="F17" s="33"/>
      <c r="G17" s="30"/>
      <c r="H17" s="30"/>
      <c r="I17" s="30"/>
      <c r="J17" s="30"/>
      <c r="K17" s="30"/>
      <c r="L17" s="30"/>
      <c r="M17" s="30"/>
      <c r="N17" s="33"/>
      <c r="O17" s="30"/>
      <c r="P17" s="30"/>
      <c r="Q17" s="30"/>
      <c r="R17" s="30"/>
      <c r="S17" s="30"/>
      <c r="T17" s="30"/>
      <c r="U17" s="34"/>
      <c r="V17" s="34"/>
      <c r="W17" s="33"/>
      <c r="X17" s="33"/>
      <c r="Y17" s="33"/>
      <c r="Z17" s="30"/>
    </row>
    <row r="18" ht="15.75" customHeight="1">
      <c r="A18" s="30"/>
      <c r="B18" s="30"/>
      <c r="C18" s="30"/>
      <c r="D18" s="32"/>
      <c r="E18" s="33"/>
      <c r="F18" s="33"/>
      <c r="G18" s="30"/>
      <c r="H18" s="30"/>
      <c r="I18" s="30"/>
      <c r="J18" s="30"/>
      <c r="K18" s="30"/>
      <c r="L18" s="30"/>
      <c r="M18" s="30"/>
      <c r="N18" s="33"/>
      <c r="O18" s="30"/>
      <c r="P18" s="30"/>
      <c r="Q18" s="30"/>
      <c r="R18" s="30"/>
      <c r="S18" s="30"/>
      <c r="T18" s="30"/>
      <c r="U18" s="34"/>
      <c r="V18" s="34"/>
      <c r="W18" s="33"/>
      <c r="X18" s="33"/>
      <c r="Y18" s="33"/>
      <c r="Z18" s="30"/>
    </row>
    <row r="19" ht="15.75" customHeight="1">
      <c r="A19" s="30"/>
      <c r="B19" s="30"/>
      <c r="C19" s="30"/>
      <c r="D19" s="32"/>
      <c r="E19" s="33"/>
      <c r="F19" s="33"/>
      <c r="G19" s="30"/>
      <c r="H19" s="30"/>
      <c r="I19" s="30"/>
      <c r="J19" s="30"/>
      <c r="K19" s="30"/>
      <c r="L19" s="30"/>
      <c r="M19" s="30"/>
      <c r="N19" s="33"/>
      <c r="O19" s="30"/>
      <c r="P19" s="30"/>
      <c r="Q19" s="30"/>
      <c r="R19" s="30"/>
      <c r="S19" s="30"/>
      <c r="T19" s="30"/>
      <c r="U19" s="34"/>
      <c r="V19" s="34"/>
      <c r="W19" s="33"/>
      <c r="X19" s="33"/>
      <c r="Y19" s="33"/>
      <c r="Z19" s="30"/>
    </row>
    <row r="20" ht="15.75" customHeight="1">
      <c r="A20" s="30"/>
      <c r="B20" s="30"/>
      <c r="C20" s="30"/>
      <c r="D20" s="32"/>
      <c r="E20" s="33"/>
      <c r="F20" s="33"/>
      <c r="G20" s="30"/>
      <c r="H20" s="30"/>
      <c r="I20" s="30"/>
      <c r="J20" s="30"/>
      <c r="K20" s="30"/>
      <c r="L20" s="30"/>
      <c r="M20" s="30"/>
      <c r="N20" s="33"/>
      <c r="O20" s="30"/>
      <c r="P20" s="30"/>
      <c r="Q20" s="30"/>
      <c r="R20" s="30"/>
      <c r="S20" s="30"/>
      <c r="T20" s="30"/>
      <c r="U20" s="34"/>
      <c r="V20" s="34"/>
      <c r="W20" s="33"/>
      <c r="X20" s="33"/>
      <c r="Y20" s="33"/>
      <c r="Z20" s="30"/>
    </row>
    <row r="21" ht="15.75" customHeight="1">
      <c r="A21" s="30"/>
      <c r="B21" s="30"/>
      <c r="C21" s="30"/>
      <c r="D21" s="32"/>
      <c r="E21" s="33"/>
      <c r="F21" s="33"/>
      <c r="G21" s="30"/>
      <c r="H21" s="30"/>
      <c r="I21" s="30"/>
      <c r="J21" s="30"/>
      <c r="K21" s="30"/>
      <c r="L21" s="30"/>
      <c r="M21" s="30"/>
      <c r="N21" s="33"/>
      <c r="O21" s="30"/>
      <c r="P21" s="30"/>
      <c r="Q21" s="30"/>
      <c r="R21" s="30"/>
      <c r="S21" s="30"/>
      <c r="T21" s="30"/>
      <c r="U21" s="34"/>
      <c r="V21" s="34"/>
      <c r="W21" s="33"/>
      <c r="X21" s="33"/>
      <c r="Y21" s="33"/>
      <c r="Z21" s="30"/>
    </row>
    <row r="22" ht="15.75" customHeight="1">
      <c r="A22" s="30"/>
      <c r="B22" s="30"/>
      <c r="C22" s="30"/>
      <c r="D22" s="32"/>
      <c r="E22" s="33"/>
      <c r="F22" s="33"/>
      <c r="G22" s="30"/>
      <c r="H22" s="30"/>
      <c r="I22" s="30"/>
      <c r="J22" s="30"/>
      <c r="K22" s="30"/>
      <c r="L22" s="30"/>
      <c r="M22" s="30"/>
      <c r="N22" s="33"/>
      <c r="O22" s="30"/>
      <c r="P22" s="30"/>
      <c r="Q22" s="30"/>
      <c r="R22" s="30"/>
      <c r="S22" s="30"/>
      <c r="T22" s="30"/>
      <c r="U22" s="34"/>
      <c r="V22" s="34"/>
      <c r="W22" s="33"/>
      <c r="X22" s="33"/>
      <c r="Y22" s="33"/>
      <c r="Z22" s="30"/>
    </row>
    <row r="23" ht="15.75" customHeight="1">
      <c r="A23" s="30"/>
      <c r="B23" s="30"/>
      <c r="C23" s="30"/>
      <c r="D23" s="32"/>
      <c r="E23" s="33"/>
      <c r="F23" s="33"/>
      <c r="G23" s="30"/>
      <c r="H23" s="30"/>
      <c r="I23" s="30"/>
      <c r="J23" s="30"/>
      <c r="K23" s="30"/>
      <c r="L23" s="30"/>
      <c r="M23" s="30"/>
      <c r="N23" s="33"/>
      <c r="O23" s="30"/>
      <c r="P23" s="30"/>
      <c r="Q23" s="30"/>
      <c r="R23" s="30"/>
      <c r="S23" s="30"/>
      <c r="T23" s="30"/>
      <c r="U23" s="34"/>
      <c r="V23" s="34"/>
      <c r="W23" s="33"/>
      <c r="X23" s="33"/>
      <c r="Y23" s="33"/>
      <c r="Z23" s="30"/>
    </row>
    <row r="24" ht="15.75" customHeight="1">
      <c r="A24" s="30"/>
      <c r="B24" s="30"/>
      <c r="C24" s="30"/>
      <c r="D24" s="32"/>
      <c r="E24" s="33"/>
      <c r="F24" s="33"/>
      <c r="G24" s="30"/>
      <c r="H24" s="30"/>
      <c r="I24" s="30"/>
      <c r="J24" s="30"/>
      <c r="K24" s="30"/>
      <c r="L24" s="30"/>
      <c r="M24" s="30"/>
      <c r="N24" s="33"/>
      <c r="O24" s="30"/>
      <c r="P24" s="30"/>
      <c r="Q24" s="30"/>
      <c r="R24" s="30"/>
      <c r="S24" s="30"/>
      <c r="T24" s="30"/>
      <c r="U24" s="34"/>
      <c r="V24" s="34"/>
      <c r="W24" s="33"/>
      <c r="X24" s="33"/>
      <c r="Y24" s="33"/>
      <c r="Z24" s="30"/>
    </row>
    <row r="25" ht="15.75" customHeight="1">
      <c r="A25" s="30"/>
      <c r="B25" s="30"/>
      <c r="C25" s="30"/>
      <c r="D25" s="32"/>
      <c r="E25" s="33"/>
      <c r="F25" s="33"/>
      <c r="G25" s="30"/>
      <c r="H25" s="30"/>
      <c r="I25" s="30"/>
      <c r="J25" s="30"/>
      <c r="K25" s="30"/>
      <c r="L25" s="30"/>
      <c r="M25" s="30"/>
      <c r="N25" s="33"/>
      <c r="O25" s="30"/>
      <c r="P25" s="30"/>
      <c r="Q25" s="30"/>
      <c r="R25" s="30"/>
      <c r="S25" s="30"/>
      <c r="T25" s="30"/>
      <c r="U25" s="34"/>
      <c r="V25" s="34"/>
      <c r="W25" s="33"/>
      <c r="X25" s="33"/>
      <c r="Y25" s="33"/>
      <c r="Z25" s="30"/>
    </row>
    <row r="26" ht="15.75" customHeight="1">
      <c r="A26" s="30"/>
      <c r="B26" s="30"/>
      <c r="C26" s="30"/>
      <c r="D26" s="32"/>
      <c r="E26" s="33"/>
      <c r="F26" s="33"/>
      <c r="G26" s="30"/>
      <c r="H26" s="30"/>
      <c r="I26" s="30"/>
      <c r="J26" s="30"/>
      <c r="K26" s="30"/>
      <c r="L26" s="30"/>
      <c r="M26" s="30"/>
      <c r="N26" s="33"/>
      <c r="O26" s="30"/>
      <c r="P26" s="30"/>
      <c r="Q26" s="30"/>
      <c r="R26" s="30"/>
      <c r="S26" s="30"/>
      <c r="T26" s="30"/>
      <c r="U26" s="34"/>
      <c r="V26" s="34"/>
      <c r="W26" s="33"/>
      <c r="X26" s="33"/>
      <c r="Y26" s="33"/>
      <c r="Z26" s="30"/>
    </row>
    <row r="27" ht="15.75" customHeight="1">
      <c r="A27" s="30"/>
      <c r="B27" s="30"/>
      <c r="C27" s="30"/>
      <c r="D27" s="32"/>
      <c r="E27" s="33"/>
      <c r="F27" s="33"/>
      <c r="G27" s="30"/>
      <c r="H27" s="30"/>
      <c r="I27" s="30"/>
      <c r="J27" s="30"/>
      <c r="K27" s="30"/>
      <c r="L27" s="30"/>
      <c r="M27" s="30"/>
      <c r="N27" s="33"/>
      <c r="O27" s="30"/>
      <c r="P27" s="30"/>
      <c r="Q27" s="30"/>
      <c r="R27" s="30"/>
      <c r="S27" s="30"/>
      <c r="T27" s="30"/>
      <c r="U27" s="34"/>
      <c r="V27" s="34"/>
      <c r="W27" s="33"/>
      <c r="X27" s="33"/>
      <c r="Y27" s="33"/>
      <c r="Z27" s="30"/>
    </row>
    <row r="28" ht="15.75" customHeight="1">
      <c r="A28" s="30"/>
      <c r="B28" s="30"/>
      <c r="C28" s="30"/>
      <c r="D28" s="32"/>
      <c r="E28" s="33"/>
      <c r="F28" s="33"/>
      <c r="G28" s="30"/>
      <c r="H28" s="30"/>
      <c r="I28" s="30"/>
      <c r="J28" s="30"/>
      <c r="K28" s="30"/>
      <c r="L28" s="30"/>
      <c r="M28" s="30"/>
      <c r="N28" s="33"/>
      <c r="O28" s="30"/>
      <c r="P28" s="30"/>
      <c r="Q28" s="30"/>
      <c r="R28" s="30"/>
      <c r="S28" s="30"/>
      <c r="T28" s="30"/>
      <c r="U28" s="34"/>
      <c r="V28" s="34"/>
      <c r="W28" s="33"/>
      <c r="X28" s="33"/>
      <c r="Y28" s="33"/>
      <c r="Z28" s="30"/>
    </row>
    <row r="29" ht="15.75" customHeight="1">
      <c r="A29" s="30"/>
      <c r="B29" s="30"/>
      <c r="C29" s="30"/>
      <c r="D29" s="32"/>
      <c r="E29" s="33"/>
      <c r="F29" s="33"/>
      <c r="G29" s="30"/>
      <c r="H29" s="30"/>
      <c r="I29" s="30"/>
      <c r="J29" s="30"/>
      <c r="K29" s="30"/>
      <c r="L29" s="30"/>
      <c r="M29" s="30"/>
      <c r="N29" s="33"/>
      <c r="O29" s="30"/>
      <c r="P29" s="30"/>
      <c r="Q29" s="30"/>
      <c r="R29" s="30"/>
      <c r="S29" s="30"/>
      <c r="T29" s="30"/>
      <c r="U29" s="34"/>
      <c r="V29" s="34"/>
      <c r="W29" s="33"/>
      <c r="X29" s="33"/>
      <c r="Y29" s="33"/>
      <c r="Z29" s="30"/>
    </row>
    <row r="30" ht="15.75" customHeight="1">
      <c r="A30" s="30"/>
      <c r="B30" s="30"/>
      <c r="C30" s="30"/>
      <c r="D30" s="32"/>
      <c r="E30" s="33"/>
      <c r="F30" s="33"/>
      <c r="G30" s="30"/>
      <c r="H30" s="30"/>
      <c r="I30" s="30"/>
      <c r="J30" s="30"/>
      <c r="K30" s="30"/>
      <c r="L30" s="30"/>
      <c r="M30" s="30"/>
      <c r="N30" s="33"/>
      <c r="O30" s="30"/>
      <c r="P30" s="30"/>
      <c r="Q30" s="30"/>
      <c r="R30" s="30"/>
      <c r="S30" s="30"/>
      <c r="T30" s="30"/>
      <c r="U30" s="34"/>
      <c r="V30" s="34"/>
      <c r="W30" s="33"/>
      <c r="X30" s="33"/>
      <c r="Y30" s="33"/>
      <c r="Z30" s="30"/>
    </row>
    <row r="31" ht="15.75" customHeight="1">
      <c r="A31" s="30"/>
      <c r="B31" s="30"/>
      <c r="C31" s="30"/>
      <c r="D31" s="32"/>
      <c r="E31" s="33"/>
      <c r="F31" s="33"/>
      <c r="G31" s="30"/>
      <c r="H31" s="30"/>
      <c r="I31" s="30"/>
      <c r="J31" s="30"/>
      <c r="K31" s="30"/>
      <c r="L31" s="30"/>
      <c r="M31" s="30"/>
      <c r="N31" s="33"/>
      <c r="O31" s="30"/>
      <c r="P31" s="30"/>
      <c r="Q31" s="30"/>
      <c r="R31" s="30"/>
      <c r="S31" s="30"/>
      <c r="T31" s="30"/>
      <c r="U31" s="34"/>
      <c r="V31" s="34"/>
      <c r="W31" s="33"/>
      <c r="X31" s="33"/>
      <c r="Y31" s="33"/>
      <c r="Z31" s="30"/>
    </row>
    <row r="32" ht="15.75" customHeight="1">
      <c r="A32" s="30"/>
      <c r="B32" s="30"/>
      <c r="C32" s="30"/>
      <c r="D32" s="32"/>
      <c r="E32" s="33"/>
      <c r="F32" s="33"/>
      <c r="G32" s="30"/>
      <c r="H32" s="30"/>
      <c r="I32" s="30"/>
      <c r="J32" s="30"/>
      <c r="K32" s="30"/>
      <c r="L32" s="30"/>
      <c r="M32" s="30"/>
      <c r="N32" s="33"/>
      <c r="O32" s="30"/>
      <c r="P32" s="30"/>
      <c r="Q32" s="30"/>
      <c r="R32" s="30"/>
      <c r="S32" s="30"/>
      <c r="T32" s="30"/>
      <c r="U32" s="34"/>
      <c r="V32" s="34"/>
      <c r="W32" s="33"/>
      <c r="X32" s="33"/>
      <c r="Y32" s="33"/>
      <c r="Z32" s="30"/>
    </row>
    <row r="33" ht="15.75" customHeight="1">
      <c r="A33" s="30"/>
      <c r="B33" s="30"/>
      <c r="C33" s="30"/>
      <c r="D33" s="32"/>
      <c r="E33" s="33"/>
      <c r="F33" s="33"/>
      <c r="G33" s="30"/>
      <c r="H33" s="30"/>
      <c r="I33" s="30"/>
      <c r="J33" s="30"/>
      <c r="K33" s="30"/>
      <c r="L33" s="30"/>
      <c r="M33" s="30"/>
      <c r="N33" s="33"/>
      <c r="O33" s="30"/>
      <c r="P33" s="30"/>
      <c r="Q33" s="30"/>
      <c r="R33" s="30"/>
      <c r="S33" s="30"/>
      <c r="T33" s="30"/>
      <c r="U33" s="34"/>
      <c r="V33" s="34"/>
      <c r="W33" s="33"/>
      <c r="X33" s="33"/>
      <c r="Y33" s="33"/>
      <c r="Z33" s="30"/>
    </row>
    <row r="34" ht="15.75" customHeight="1">
      <c r="A34" s="30"/>
      <c r="B34" s="30"/>
      <c r="C34" s="30"/>
      <c r="D34" s="32"/>
      <c r="E34" s="33"/>
      <c r="F34" s="33"/>
      <c r="G34" s="30"/>
      <c r="H34" s="30"/>
      <c r="I34" s="30"/>
      <c r="J34" s="30"/>
      <c r="K34" s="30"/>
      <c r="L34" s="30"/>
      <c r="M34" s="30"/>
      <c r="N34" s="33"/>
      <c r="O34" s="30"/>
      <c r="P34" s="30"/>
      <c r="Q34" s="30"/>
      <c r="R34" s="30"/>
      <c r="S34" s="30"/>
      <c r="T34" s="30"/>
      <c r="U34" s="34"/>
      <c r="V34" s="34"/>
      <c r="W34" s="33"/>
      <c r="X34" s="33"/>
      <c r="Y34" s="33"/>
      <c r="Z34" s="30"/>
    </row>
    <row r="35" ht="15.75" customHeight="1">
      <c r="A35" s="30"/>
      <c r="B35" s="30"/>
      <c r="C35" s="30"/>
      <c r="D35" s="32"/>
      <c r="E35" s="33"/>
      <c r="F35" s="33"/>
      <c r="G35" s="30"/>
      <c r="H35" s="30"/>
      <c r="I35" s="30"/>
      <c r="J35" s="30"/>
      <c r="K35" s="30"/>
      <c r="L35" s="30"/>
      <c r="M35" s="30"/>
      <c r="N35" s="33"/>
      <c r="O35" s="30"/>
      <c r="P35" s="30"/>
      <c r="Q35" s="30"/>
      <c r="R35" s="30"/>
      <c r="S35" s="30"/>
      <c r="T35" s="30"/>
      <c r="U35" s="34"/>
      <c r="V35" s="34"/>
      <c r="W35" s="33"/>
      <c r="X35" s="33"/>
      <c r="Y35" s="33"/>
      <c r="Z35" s="30"/>
    </row>
    <row r="36" ht="15.75" customHeight="1">
      <c r="A36" s="30"/>
      <c r="B36" s="30"/>
      <c r="C36" s="30"/>
      <c r="D36" s="32"/>
      <c r="E36" s="33"/>
      <c r="F36" s="33"/>
      <c r="G36" s="30"/>
      <c r="H36" s="30"/>
      <c r="I36" s="30"/>
      <c r="J36" s="30"/>
      <c r="K36" s="30"/>
      <c r="L36" s="30"/>
      <c r="M36" s="30"/>
      <c r="N36" s="33"/>
      <c r="O36" s="30"/>
      <c r="P36" s="30"/>
      <c r="Q36" s="30"/>
      <c r="R36" s="30"/>
      <c r="S36" s="30"/>
      <c r="T36" s="30"/>
      <c r="U36" s="34"/>
      <c r="V36" s="34"/>
      <c r="W36" s="33"/>
      <c r="X36" s="33"/>
      <c r="Y36" s="33"/>
      <c r="Z36" s="30"/>
    </row>
    <row r="37" ht="15.75" customHeight="1">
      <c r="A37" s="30"/>
      <c r="B37" s="30"/>
      <c r="C37" s="30"/>
      <c r="D37" s="32"/>
      <c r="E37" s="33"/>
      <c r="F37" s="33"/>
      <c r="G37" s="30"/>
      <c r="H37" s="30"/>
      <c r="I37" s="30"/>
      <c r="J37" s="30"/>
      <c r="K37" s="30"/>
      <c r="L37" s="30"/>
      <c r="M37" s="30"/>
      <c r="N37" s="33"/>
      <c r="O37" s="30"/>
      <c r="P37" s="30"/>
      <c r="Q37" s="30"/>
      <c r="R37" s="30"/>
      <c r="S37" s="30"/>
      <c r="T37" s="30"/>
      <c r="U37" s="34"/>
      <c r="V37" s="34"/>
      <c r="W37" s="33"/>
      <c r="X37" s="33"/>
      <c r="Y37" s="33"/>
      <c r="Z37" s="30"/>
    </row>
    <row r="38" ht="15.75" customHeight="1">
      <c r="A38" s="30"/>
      <c r="B38" s="30"/>
      <c r="C38" s="30"/>
      <c r="D38" s="32"/>
      <c r="E38" s="33"/>
      <c r="F38" s="33"/>
      <c r="G38" s="30"/>
      <c r="H38" s="30"/>
      <c r="I38" s="30"/>
      <c r="J38" s="30"/>
      <c r="K38" s="30"/>
      <c r="L38" s="30"/>
      <c r="M38" s="30"/>
      <c r="N38" s="33"/>
      <c r="O38" s="30"/>
      <c r="P38" s="30"/>
      <c r="Q38" s="30"/>
      <c r="R38" s="30"/>
      <c r="S38" s="30"/>
      <c r="T38" s="30"/>
      <c r="U38" s="34"/>
      <c r="V38" s="34"/>
      <c r="W38" s="33"/>
      <c r="X38" s="33"/>
      <c r="Y38" s="33"/>
      <c r="Z38" s="30"/>
    </row>
    <row r="39" ht="15.75" customHeight="1">
      <c r="A39" s="30"/>
      <c r="B39" s="30"/>
      <c r="C39" s="30"/>
      <c r="D39" s="32"/>
      <c r="E39" s="33"/>
      <c r="F39" s="33"/>
      <c r="G39" s="30"/>
      <c r="H39" s="30"/>
      <c r="I39" s="30"/>
      <c r="J39" s="30"/>
      <c r="K39" s="30"/>
      <c r="L39" s="30"/>
      <c r="M39" s="30"/>
      <c r="N39" s="33"/>
      <c r="O39" s="30"/>
      <c r="P39" s="30"/>
      <c r="Q39" s="30"/>
      <c r="R39" s="30"/>
      <c r="S39" s="30"/>
      <c r="T39" s="30"/>
      <c r="U39" s="34"/>
      <c r="V39" s="34"/>
      <c r="W39" s="33"/>
      <c r="X39" s="33"/>
      <c r="Y39" s="33"/>
      <c r="Z39" s="30"/>
    </row>
    <row r="40" ht="15.75" customHeight="1">
      <c r="A40" s="30"/>
      <c r="B40" s="30"/>
      <c r="C40" s="30"/>
      <c r="D40" s="32"/>
      <c r="E40" s="33"/>
      <c r="F40" s="33"/>
      <c r="G40" s="30"/>
      <c r="H40" s="30"/>
      <c r="I40" s="30"/>
      <c r="J40" s="30"/>
      <c r="K40" s="30"/>
      <c r="L40" s="30"/>
      <c r="M40" s="30"/>
      <c r="N40" s="33"/>
      <c r="O40" s="30"/>
      <c r="P40" s="30"/>
      <c r="Q40" s="30"/>
      <c r="R40" s="30"/>
      <c r="S40" s="30"/>
      <c r="T40" s="30"/>
      <c r="U40" s="34"/>
      <c r="V40" s="34"/>
      <c r="W40" s="33"/>
      <c r="X40" s="33"/>
      <c r="Y40" s="33"/>
      <c r="Z40" s="30"/>
    </row>
    <row r="41" ht="15.75" customHeight="1">
      <c r="A41" s="30"/>
      <c r="B41" s="30"/>
      <c r="C41" s="30"/>
      <c r="D41" s="32"/>
      <c r="E41" s="33"/>
      <c r="F41" s="33"/>
      <c r="G41" s="30"/>
      <c r="H41" s="30"/>
      <c r="I41" s="30"/>
      <c r="J41" s="30"/>
      <c r="K41" s="30"/>
      <c r="L41" s="30"/>
      <c r="M41" s="30"/>
      <c r="N41" s="33"/>
      <c r="O41" s="30"/>
      <c r="P41" s="30"/>
      <c r="Q41" s="30"/>
      <c r="R41" s="30"/>
      <c r="S41" s="30"/>
      <c r="T41" s="30"/>
      <c r="U41" s="34"/>
      <c r="V41" s="34"/>
      <c r="W41" s="33"/>
      <c r="X41" s="33"/>
      <c r="Y41" s="33"/>
      <c r="Z41" s="30"/>
    </row>
    <row r="42" ht="15.75" customHeight="1">
      <c r="A42" s="30"/>
      <c r="B42" s="30"/>
      <c r="C42" s="30"/>
      <c r="D42" s="32"/>
      <c r="E42" s="33"/>
      <c r="F42" s="33"/>
      <c r="G42" s="30"/>
      <c r="H42" s="30"/>
      <c r="I42" s="30"/>
      <c r="J42" s="30"/>
      <c r="K42" s="30"/>
      <c r="L42" s="30"/>
      <c r="M42" s="30"/>
      <c r="N42" s="33"/>
      <c r="O42" s="30"/>
      <c r="P42" s="30"/>
      <c r="Q42" s="30"/>
      <c r="R42" s="30"/>
      <c r="S42" s="30"/>
      <c r="T42" s="30"/>
      <c r="U42" s="34"/>
      <c r="V42" s="34"/>
      <c r="W42" s="33"/>
      <c r="X42" s="33"/>
      <c r="Y42" s="33"/>
      <c r="Z42" s="30"/>
    </row>
    <row r="43" ht="15.75" customHeight="1">
      <c r="A43" s="30"/>
      <c r="B43" s="30"/>
      <c r="C43" s="30"/>
      <c r="D43" s="32"/>
      <c r="E43" s="33"/>
      <c r="F43" s="33"/>
      <c r="G43" s="30"/>
      <c r="H43" s="30"/>
      <c r="I43" s="30"/>
      <c r="J43" s="30"/>
      <c r="K43" s="30"/>
      <c r="L43" s="30"/>
      <c r="M43" s="30"/>
      <c r="N43" s="33"/>
      <c r="O43" s="30"/>
      <c r="P43" s="30"/>
      <c r="Q43" s="30"/>
      <c r="R43" s="30"/>
      <c r="S43" s="30"/>
      <c r="T43" s="30"/>
      <c r="U43" s="34"/>
      <c r="V43" s="34"/>
      <c r="W43" s="33"/>
      <c r="X43" s="33"/>
      <c r="Y43" s="33"/>
      <c r="Z43" s="30"/>
    </row>
    <row r="44" ht="15.75" customHeight="1">
      <c r="A44" s="30"/>
      <c r="B44" s="30"/>
      <c r="C44" s="30"/>
      <c r="D44" s="32"/>
      <c r="E44" s="33"/>
      <c r="F44" s="33"/>
      <c r="G44" s="30"/>
      <c r="H44" s="30"/>
      <c r="I44" s="30"/>
      <c r="J44" s="30"/>
      <c r="K44" s="30"/>
      <c r="L44" s="30"/>
      <c r="M44" s="30"/>
      <c r="N44" s="33"/>
      <c r="O44" s="30"/>
      <c r="P44" s="30"/>
      <c r="Q44" s="30"/>
      <c r="R44" s="30"/>
      <c r="S44" s="30"/>
      <c r="T44" s="30"/>
      <c r="U44" s="34"/>
      <c r="V44" s="34"/>
      <c r="W44" s="33"/>
      <c r="X44" s="33"/>
      <c r="Y44" s="33"/>
      <c r="Z44" s="30"/>
    </row>
    <row r="45" ht="15.75" customHeight="1">
      <c r="A45" s="30"/>
      <c r="B45" s="30"/>
      <c r="C45" s="30"/>
      <c r="D45" s="32"/>
      <c r="E45" s="33"/>
      <c r="F45" s="33"/>
      <c r="G45" s="30"/>
      <c r="H45" s="30"/>
      <c r="I45" s="30"/>
      <c r="J45" s="30"/>
      <c r="K45" s="30"/>
      <c r="L45" s="30"/>
      <c r="M45" s="30"/>
      <c r="N45" s="33"/>
      <c r="O45" s="30"/>
      <c r="P45" s="30"/>
      <c r="Q45" s="30"/>
      <c r="R45" s="30"/>
      <c r="S45" s="30"/>
      <c r="T45" s="30"/>
      <c r="U45" s="34"/>
      <c r="V45" s="34"/>
      <c r="W45" s="33"/>
      <c r="X45" s="33"/>
      <c r="Y45" s="33"/>
      <c r="Z45" s="30"/>
    </row>
    <row r="46" ht="15.75" customHeight="1">
      <c r="A46" s="30"/>
      <c r="B46" s="30"/>
      <c r="C46" s="30"/>
      <c r="D46" s="32"/>
      <c r="E46" s="33"/>
      <c r="F46" s="33"/>
      <c r="G46" s="30"/>
      <c r="H46" s="30"/>
      <c r="I46" s="30"/>
      <c r="J46" s="30"/>
      <c r="K46" s="30"/>
      <c r="L46" s="30"/>
      <c r="M46" s="30"/>
      <c r="N46" s="33"/>
      <c r="O46" s="30"/>
      <c r="P46" s="30"/>
      <c r="Q46" s="30"/>
      <c r="R46" s="30"/>
      <c r="S46" s="30"/>
      <c r="T46" s="30"/>
      <c r="U46" s="34"/>
      <c r="V46" s="34"/>
      <c r="W46" s="33"/>
      <c r="X46" s="33"/>
      <c r="Y46" s="33"/>
      <c r="Z46" s="30"/>
    </row>
    <row r="47" ht="15.75" customHeight="1">
      <c r="A47" s="30"/>
      <c r="B47" s="30"/>
      <c r="C47" s="30"/>
      <c r="D47" s="32"/>
      <c r="E47" s="33"/>
      <c r="F47" s="33"/>
      <c r="G47" s="30"/>
      <c r="H47" s="30"/>
      <c r="I47" s="30"/>
      <c r="J47" s="30"/>
      <c r="K47" s="30"/>
      <c r="L47" s="30"/>
      <c r="M47" s="30"/>
      <c r="N47" s="33"/>
      <c r="O47" s="30"/>
      <c r="P47" s="30"/>
      <c r="Q47" s="30"/>
      <c r="R47" s="30"/>
      <c r="S47" s="30"/>
      <c r="T47" s="30"/>
      <c r="U47" s="34"/>
      <c r="V47" s="34"/>
      <c r="W47" s="33"/>
      <c r="X47" s="33"/>
      <c r="Y47" s="33"/>
      <c r="Z47" s="30"/>
    </row>
    <row r="48" ht="15.75" customHeight="1">
      <c r="A48" s="30"/>
      <c r="B48" s="30"/>
      <c r="C48" s="30"/>
      <c r="D48" s="32"/>
      <c r="E48" s="33"/>
      <c r="F48" s="33"/>
      <c r="G48" s="30"/>
      <c r="H48" s="30"/>
      <c r="I48" s="30"/>
      <c r="J48" s="30"/>
      <c r="K48" s="30"/>
      <c r="L48" s="30"/>
      <c r="M48" s="30"/>
      <c r="N48" s="33"/>
      <c r="O48" s="30"/>
      <c r="P48" s="30"/>
      <c r="Q48" s="30"/>
      <c r="R48" s="30"/>
      <c r="S48" s="30"/>
      <c r="T48" s="30"/>
      <c r="U48" s="34"/>
      <c r="V48" s="34"/>
      <c r="W48" s="33"/>
      <c r="X48" s="33"/>
      <c r="Y48" s="33"/>
      <c r="Z48" s="30"/>
    </row>
    <row r="49" ht="15.75" customHeight="1">
      <c r="A49" s="30"/>
      <c r="B49" s="30"/>
      <c r="C49" s="30"/>
      <c r="D49" s="32"/>
      <c r="E49" s="33"/>
      <c r="F49" s="33"/>
      <c r="G49" s="30"/>
      <c r="H49" s="30"/>
      <c r="I49" s="30"/>
      <c r="J49" s="30"/>
      <c r="K49" s="30"/>
      <c r="L49" s="30"/>
      <c r="M49" s="30"/>
      <c r="N49" s="33"/>
      <c r="O49" s="30"/>
      <c r="P49" s="30"/>
      <c r="Q49" s="30"/>
      <c r="R49" s="30"/>
      <c r="S49" s="30"/>
      <c r="T49" s="30"/>
      <c r="U49" s="34"/>
      <c r="V49" s="34"/>
      <c r="W49" s="33"/>
      <c r="X49" s="33"/>
      <c r="Y49" s="33"/>
      <c r="Z49" s="30"/>
    </row>
    <row r="50" ht="15.75" customHeight="1">
      <c r="A50" s="30"/>
      <c r="B50" s="30"/>
      <c r="C50" s="30"/>
      <c r="D50" s="32"/>
      <c r="E50" s="33"/>
      <c r="F50" s="33"/>
      <c r="G50" s="30"/>
      <c r="H50" s="30"/>
      <c r="I50" s="30"/>
      <c r="J50" s="30"/>
      <c r="K50" s="30"/>
      <c r="L50" s="30"/>
      <c r="M50" s="30"/>
      <c r="N50" s="33"/>
      <c r="O50" s="30"/>
      <c r="P50" s="30"/>
      <c r="Q50" s="30"/>
      <c r="R50" s="30"/>
      <c r="S50" s="30"/>
      <c r="T50" s="30"/>
      <c r="U50" s="34"/>
      <c r="V50" s="34"/>
      <c r="W50" s="33"/>
      <c r="X50" s="33"/>
      <c r="Y50" s="33"/>
      <c r="Z50" s="30"/>
    </row>
    <row r="51" ht="15.75" customHeight="1">
      <c r="A51" s="30"/>
      <c r="B51" s="35"/>
      <c r="C51" s="35"/>
      <c r="D51" s="30"/>
      <c r="E51" s="36"/>
      <c r="F51" s="36"/>
      <c r="G51" s="30"/>
      <c r="H51" s="30"/>
      <c r="I51" s="30"/>
      <c r="J51" s="30"/>
      <c r="K51" s="30"/>
      <c r="L51" s="30"/>
      <c r="M51" s="30"/>
      <c r="N51" s="36"/>
      <c r="O51" s="30"/>
      <c r="P51" s="30"/>
      <c r="Q51" s="30"/>
      <c r="R51" s="30"/>
      <c r="S51" s="30"/>
      <c r="T51" s="30"/>
      <c r="U51" s="37"/>
      <c r="V51" s="37"/>
      <c r="W51" s="36"/>
      <c r="X51" s="30"/>
      <c r="Y51" s="36"/>
      <c r="Z51" s="30"/>
    </row>
    <row r="52" ht="15.75" customHeight="1">
      <c r="A52" s="38"/>
      <c r="B52" s="30"/>
      <c r="C52" s="30"/>
      <c r="D52" s="30"/>
      <c r="E52" s="36"/>
      <c r="F52" s="36"/>
      <c r="G52" s="30"/>
      <c r="H52" s="30"/>
      <c r="I52" s="30"/>
      <c r="J52" s="30"/>
      <c r="K52" s="30"/>
      <c r="L52" s="30"/>
      <c r="M52" s="30"/>
      <c r="N52" s="36"/>
      <c r="O52" s="30"/>
      <c r="P52" s="30"/>
      <c r="Q52" s="30"/>
      <c r="R52" s="30"/>
      <c r="S52" s="30"/>
      <c r="T52" s="30"/>
      <c r="U52" s="37"/>
      <c r="V52" s="37"/>
      <c r="W52" s="36"/>
      <c r="X52" s="30"/>
      <c r="Y52" s="36"/>
      <c r="Z52" s="30"/>
    </row>
    <row r="53" ht="15.75" customHeight="1">
      <c r="A53" s="30"/>
      <c r="B53" s="35"/>
      <c r="C53" s="30"/>
      <c r="D53" s="30"/>
      <c r="E53" s="36"/>
      <c r="F53" s="36"/>
      <c r="G53" s="30"/>
      <c r="H53" s="30"/>
      <c r="I53" s="30"/>
      <c r="J53" s="30"/>
      <c r="K53" s="30"/>
      <c r="L53" s="30"/>
      <c r="M53" s="30"/>
      <c r="N53" s="36"/>
      <c r="O53" s="30"/>
      <c r="P53" s="30"/>
      <c r="Q53" s="30"/>
      <c r="R53" s="30"/>
      <c r="S53" s="30"/>
      <c r="T53" s="30"/>
      <c r="U53" s="37"/>
      <c r="V53" s="37"/>
      <c r="W53" s="36"/>
      <c r="X53" s="30"/>
      <c r="Y53" s="36"/>
      <c r="Z53" s="30"/>
    </row>
    <row r="54" ht="15.75" customHeight="1">
      <c r="A54" s="30"/>
      <c r="B54" s="35"/>
      <c r="C54" s="30"/>
      <c r="D54" s="30"/>
      <c r="E54" s="36"/>
      <c r="F54" s="36"/>
      <c r="G54" s="30"/>
      <c r="H54" s="30"/>
      <c r="I54" s="30"/>
      <c r="J54" s="30"/>
      <c r="K54" s="30"/>
      <c r="L54" s="30"/>
      <c r="M54" s="30"/>
      <c r="N54" s="36"/>
      <c r="O54" s="30"/>
      <c r="P54" s="30"/>
      <c r="Q54" s="30"/>
      <c r="R54" s="30"/>
      <c r="S54" s="30"/>
      <c r="T54" s="30"/>
      <c r="U54" s="37"/>
      <c r="V54" s="37"/>
      <c r="W54" s="36"/>
      <c r="X54" s="30"/>
      <c r="Y54" s="36"/>
      <c r="Z54" s="30"/>
    </row>
    <row r="55" ht="15.75" customHeight="1">
      <c r="A55" s="30"/>
      <c r="B55" s="35"/>
      <c r="C55" s="30"/>
      <c r="D55" s="30"/>
      <c r="E55" s="36"/>
      <c r="F55" s="36"/>
      <c r="G55" s="30"/>
      <c r="H55" s="30"/>
      <c r="I55" s="30"/>
      <c r="J55" s="30"/>
      <c r="K55" s="30"/>
      <c r="L55" s="30"/>
      <c r="M55" s="30"/>
      <c r="N55" s="36"/>
      <c r="O55" s="30"/>
      <c r="P55" s="30"/>
      <c r="Q55" s="30"/>
      <c r="R55" s="30"/>
      <c r="S55" s="30"/>
      <c r="T55" s="30"/>
      <c r="U55" s="37"/>
      <c r="V55" s="37"/>
      <c r="W55" s="36"/>
      <c r="X55" s="30"/>
      <c r="Y55" s="36"/>
      <c r="Z55" s="30"/>
    </row>
    <row r="56" ht="15.75" customHeight="1">
      <c r="A56" s="30"/>
      <c r="B56" s="35"/>
      <c r="C56" s="30"/>
      <c r="D56" s="30"/>
      <c r="E56" s="36"/>
      <c r="F56" s="36"/>
      <c r="G56" s="30"/>
      <c r="H56" s="30"/>
      <c r="I56" s="30"/>
      <c r="J56" s="30"/>
      <c r="K56" s="30"/>
      <c r="L56" s="30"/>
      <c r="M56" s="30"/>
      <c r="N56" s="36"/>
      <c r="O56" s="30"/>
      <c r="P56" s="30"/>
      <c r="Q56" s="30"/>
      <c r="R56" s="30"/>
      <c r="S56" s="30"/>
      <c r="T56" s="30"/>
      <c r="U56" s="37"/>
      <c r="V56" s="37"/>
      <c r="W56" s="36"/>
      <c r="X56" s="30"/>
      <c r="Y56" s="36"/>
      <c r="Z56" s="30"/>
    </row>
    <row r="57" ht="15.75" customHeight="1">
      <c r="A57" s="30"/>
      <c r="B57" s="35"/>
      <c r="C57" s="30"/>
      <c r="D57" s="30"/>
      <c r="E57" s="36"/>
      <c r="F57" s="36"/>
      <c r="G57" s="30"/>
      <c r="H57" s="30"/>
      <c r="I57" s="30"/>
      <c r="J57" s="30"/>
      <c r="K57" s="30"/>
      <c r="L57" s="30"/>
      <c r="M57" s="30"/>
      <c r="N57" s="36"/>
      <c r="O57" s="30"/>
      <c r="P57" s="30"/>
      <c r="Q57" s="30"/>
      <c r="R57" s="30"/>
      <c r="S57" s="30"/>
      <c r="T57" s="30"/>
      <c r="U57" s="37"/>
      <c r="V57" s="37"/>
      <c r="W57" s="36"/>
      <c r="X57" s="30"/>
      <c r="Y57" s="36"/>
      <c r="Z57" s="30"/>
    </row>
    <row r="58" ht="15.75" customHeight="1">
      <c r="A58" s="30"/>
      <c r="B58" s="35"/>
      <c r="C58" s="30"/>
      <c r="D58" s="30"/>
      <c r="E58" s="36"/>
      <c r="F58" s="36"/>
      <c r="G58" s="30"/>
      <c r="H58" s="30"/>
      <c r="I58" s="30"/>
      <c r="J58" s="30"/>
      <c r="K58" s="30"/>
      <c r="L58" s="30"/>
      <c r="M58" s="30"/>
      <c r="N58" s="36"/>
      <c r="O58" s="30"/>
      <c r="P58" s="30"/>
      <c r="Q58" s="30"/>
      <c r="R58" s="30"/>
      <c r="S58" s="30"/>
      <c r="T58" s="30"/>
      <c r="U58" s="37"/>
      <c r="V58" s="37"/>
      <c r="W58" s="36"/>
      <c r="X58" s="30"/>
      <c r="Y58" s="36"/>
      <c r="Z58" s="30"/>
    </row>
    <row r="59" ht="15.75" customHeight="1">
      <c r="A59" s="30"/>
      <c r="B59" s="35"/>
      <c r="C59" s="30"/>
      <c r="D59" s="30"/>
      <c r="E59" s="36"/>
      <c r="F59" s="36"/>
      <c r="G59" s="30"/>
      <c r="H59" s="30"/>
      <c r="I59" s="30"/>
      <c r="J59" s="30"/>
      <c r="K59" s="30"/>
      <c r="L59" s="30"/>
      <c r="M59" s="30"/>
      <c r="N59" s="36"/>
      <c r="O59" s="30"/>
      <c r="P59" s="30"/>
      <c r="Q59" s="30"/>
      <c r="R59" s="30"/>
      <c r="S59" s="30"/>
      <c r="T59" s="30"/>
      <c r="U59" s="37"/>
      <c r="V59" s="37"/>
      <c r="W59" s="36"/>
      <c r="X59" s="30"/>
      <c r="Y59" s="36"/>
      <c r="Z59" s="30"/>
    </row>
    <row r="60" ht="15.75" customHeight="1">
      <c r="A60" s="30"/>
      <c r="B60" s="35"/>
      <c r="C60" s="30"/>
      <c r="D60" s="30"/>
      <c r="E60" s="36"/>
      <c r="F60" s="36"/>
      <c r="G60" s="30"/>
      <c r="H60" s="30"/>
      <c r="I60" s="30"/>
      <c r="J60" s="30"/>
      <c r="K60" s="30"/>
      <c r="L60" s="30"/>
      <c r="M60" s="30"/>
      <c r="N60" s="36"/>
      <c r="O60" s="30"/>
      <c r="P60" s="30"/>
      <c r="Q60" s="30"/>
      <c r="R60" s="30"/>
      <c r="S60" s="30"/>
      <c r="T60" s="30"/>
      <c r="U60" s="37"/>
      <c r="V60" s="37"/>
      <c r="W60" s="36"/>
      <c r="X60" s="30"/>
      <c r="Y60" s="36"/>
      <c r="Z60" s="30"/>
    </row>
    <row r="61" ht="15.75" customHeight="1">
      <c r="A61" s="30"/>
      <c r="B61" s="35"/>
      <c r="C61" s="30"/>
      <c r="D61" s="30"/>
      <c r="E61" s="36"/>
      <c r="F61" s="33"/>
      <c r="G61" s="30"/>
      <c r="H61" s="30"/>
      <c r="I61" s="30"/>
      <c r="J61" s="30"/>
      <c r="K61" s="30"/>
      <c r="L61" s="30"/>
      <c r="M61" s="30"/>
      <c r="N61" s="36"/>
      <c r="O61" s="30"/>
      <c r="P61" s="30"/>
      <c r="Q61" s="30"/>
      <c r="R61" s="30"/>
      <c r="S61" s="30"/>
      <c r="T61" s="30"/>
      <c r="U61" s="37"/>
      <c r="V61" s="37"/>
      <c r="W61" s="36"/>
      <c r="X61" s="30"/>
      <c r="Y61" s="36"/>
      <c r="Z61" s="30"/>
    </row>
    <row r="62" ht="15.75" customHeight="1">
      <c r="A62" s="30"/>
      <c r="B62" s="35"/>
      <c r="C62" s="30"/>
      <c r="D62" s="30"/>
      <c r="E62" s="36"/>
      <c r="F62" s="36"/>
      <c r="G62" s="30"/>
      <c r="H62" s="30"/>
      <c r="I62" s="30"/>
      <c r="J62" s="30"/>
      <c r="K62" s="30"/>
      <c r="L62" s="30"/>
      <c r="M62" s="30"/>
      <c r="N62" s="36"/>
      <c r="O62" s="30"/>
      <c r="P62" s="30"/>
      <c r="Q62" s="30"/>
      <c r="R62" s="30"/>
      <c r="S62" s="30"/>
      <c r="T62" s="30"/>
      <c r="U62" s="37"/>
      <c r="V62" s="37"/>
      <c r="W62" s="36"/>
      <c r="X62" s="30"/>
      <c r="Y62" s="36"/>
      <c r="Z62" s="30"/>
    </row>
    <row r="63" ht="15.75" customHeight="1">
      <c r="A63" s="30"/>
      <c r="B63" s="35"/>
      <c r="C63" s="30"/>
      <c r="D63" s="30"/>
      <c r="E63" s="36"/>
      <c r="F63" s="36"/>
      <c r="G63" s="30"/>
      <c r="H63" s="30"/>
      <c r="I63" s="30"/>
      <c r="J63" s="30"/>
      <c r="K63" s="30"/>
      <c r="L63" s="30"/>
      <c r="M63" s="30"/>
      <c r="N63" s="36"/>
      <c r="O63" s="30"/>
      <c r="P63" s="30"/>
      <c r="Q63" s="30"/>
      <c r="R63" s="30"/>
      <c r="S63" s="30"/>
      <c r="T63" s="30"/>
      <c r="U63" s="37"/>
      <c r="V63" s="37"/>
      <c r="W63" s="36"/>
      <c r="X63" s="30"/>
      <c r="Y63" s="36"/>
      <c r="Z63" s="30"/>
    </row>
    <row r="64" ht="15.75" customHeight="1">
      <c r="A64" s="30"/>
      <c r="B64" s="35"/>
      <c r="C64" s="30"/>
      <c r="D64" s="30"/>
      <c r="E64" s="36"/>
      <c r="F64" s="36"/>
      <c r="G64" s="30"/>
      <c r="H64" s="30"/>
      <c r="I64" s="30"/>
      <c r="J64" s="30"/>
      <c r="K64" s="30"/>
      <c r="L64" s="30"/>
      <c r="M64" s="30"/>
      <c r="N64" s="36"/>
      <c r="O64" s="30"/>
      <c r="P64" s="30"/>
      <c r="Q64" s="30"/>
      <c r="R64" s="30"/>
      <c r="S64" s="30"/>
      <c r="T64" s="30"/>
      <c r="U64" s="37"/>
      <c r="V64" s="37"/>
      <c r="W64" s="36"/>
      <c r="X64" s="30"/>
      <c r="Y64" s="36"/>
      <c r="Z64" s="30"/>
    </row>
    <row r="65" ht="15.75" customHeight="1">
      <c r="A65" s="30"/>
      <c r="B65" s="35"/>
      <c r="C65" s="30"/>
      <c r="D65" s="30"/>
      <c r="E65" s="36"/>
      <c r="F65" s="36"/>
      <c r="G65" s="30"/>
      <c r="H65" s="30"/>
      <c r="I65" s="30"/>
      <c r="J65" s="30"/>
      <c r="K65" s="30"/>
      <c r="L65" s="30"/>
      <c r="M65" s="30"/>
      <c r="N65" s="36"/>
      <c r="O65" s="30"/>
      <c r="P65" s="30"/>
      <c r="Q65" s="30"/>
      <c r="R65" s="30"/>
      <c r="S65" s="30"/>
      <c r="T65" s="30"/>
      <c r="U65" s="37"/>
      <c r="V65" s="37"/>
      <c r="W65" s="36"/>
      <c r="X65" s="30"/>
      <c r="Y65" s="36"/>
      <c r="Z65" s="30"/>
    </row>
    <row r="66" ht="15.75" customHeight="1">
      <c r="A66" s="30"/>
      <c r="B66" s="35"/>
      <c r="C66" s="30"/>
      <c r="D66" s="30"/>
      <c r="E66" s="36"/>
      <c r="F66" s="36"/>
      <c r="G66" s="30"/>
      <c r="H66" s="30"/>
      <c r="I66" s="30"/>
      <c r="J66" s="30"/>
      <c r="K66" s="30"/>
      <c r="L66" s="30"/>
      <c r="M66" s="30"/>
      <c r="N66" s="36"/>
      <c r="O66" s="30"/>
      <c r="P66" s="30"/>
      <c r="Q66" s="30"/>
      <c r="R66" s="30"/>
      <c r="S66" s="30"/>
      <c r="T66" s="30"/>
      <c r="U66" s="37"/>
      <c r="V66" s="37"/>
      <c r="W66" s="36"/>
      <c r="X66" s="30"/>
      <c r="Y66" s="36"/>
      <c r="Z66" s="30"/>
    </row>
    <row r="67" ht="15.75" customHeight="1">
      <c r="A67" s="30"/>
      <c r="B67" s="35"/>
      <c r="C67" s="30"/>
      <c r="D67" s="30"/>
      <c r="E67" s="36"/>
      <c r="F67" s="36"/>
      <c r="G67" s="30"/>
      <c r="H67" s="30"/>
      <c r="I67" s="30"/>
      <c r="J67" s="30"/>
      <c r="K67" s="30"/>
      <c r="L67" s="30"/>
      <c r="M67" s="30"/>
      <c r="N67" s="36"/>
      <c r="O67" s="30"/>
      <c r="P67" s="30"/>
      <c r="Q67" s="30"/>
      <c r="R67" s="30"/>
      <c r="S67" s="30"/>
      <c r="T67" s="30"/>
      <c r="U67" s="37"/>
      <c r="V67" s="37"/>
      <c r="W67" s="36"/>
      <c r="X67" s="30"/>
      <c r="Y67" s="36"/>
      <c r="Z67" s="30"/>
    </row>
    <row r="68" ht="15.75" customHeight="1">
      <c r="A68" s="38"/>
      <c r="B68" s="30"/>
      <c r="C68" s="30"/>
      <c r="D68" s="30"/>
      <c r="E68" s="36"/>
      <c r="F68" s="36"/>
      <c r="G68" s="30"/>
      <c r="H68" s="30"/>
      <c r="I68" s="30"/>
      <c r="J68" s="30"/>
      <c r="K68" s="30"/>
      <c r="L68" s="30"/>
      <c r="M68" s="30"/>
      <c r="N68" s="36"/>
      <c r="O68" s="30"/>
      <c r="P68" s="30"/>
      <c r="Q68" s="30"/>
      <c r="R68" s="30"/>
      <c r="S68" s="30"/>
      <c r="T68" s="30"/>
      <c r="U68" s="37"/>
      <c r="V68" s="37"/>
      <c r="W68" s="36"/>
      <c r="X68" s="30"/>
      <c r="Y68" s="36"/>
      <c r="Z68" s="30"/>
    </row>
    <row r="69" ht="15.75" customHeight="1">
      <c r="A69" s="38"/>
      <c r="B69" s="30"/>
      <c r="C69" s="30"/>
      <c r="D69" s="30"/>
      <c r="E69" s="36"/>
      <c r="F69" s="36"/>
      <c r="G69" s="30"/>
      <c r="H69" s="30"/>
      <c r="I69" s="30"/>
      <c r="J69" s="30"/>
      <c r="K69" s="30"/>
      <c r="L69" s="30"/>
      <c r="M69" s="30"/>
      <c r="N69" s="36"/>
      <c r="O69" s="30"/>
      <c r="P69" s="30"/>
      <c r="Q69" s="30"/>
      <c r="R69" s="30"/>
      <c r="S69" s="30"/>
      <c r="T69" s="30"/>
      <c r="U69" s="37"/>
      <c r="V69" s="37"/>
      <c r="W69" s="36"/>
      <c r="X69" s="30"/>
      <c r="Y69" s="36"/>
      <c r="Z69" s="30"/>
    </row>
    <row r="70" ht="15.75" customHeight="1">
      <c r="A70" s="30"/>
      <c r="B70" s="35"/>
      <c r="C70" s="30"/>
      <c r="D70" s="30"/>
      <c r="E70" s="36"/>
      <c r="F70" s="36"/>
      <c r="G70" s="30"/>
      <c r="H70" s="30"/>
      <c r="I70" s="30"/>
      <c r="J70" s="30"/>
      <c r="K70" s="30"/>
      <c r="L70" s="30"/>
      <c r="M70" s="30"/>
      <c r="N70" s="33"/>
      <c r="O70" s="30"/>
      <c r="P70" s="30"/>
      <c r="Q70" s="30"/>
      <c r="R70" s="30"/>
      <c r="S70" s="30"/>
      <c r="T70" s="30"/>
      <c r="U70" s="34"/>
      <c r="V70" s="34"/>
      <c r="W70" s="33"/>
      <c r="X70" s="30"/>
      <c r="Y70" s="33"/>
      <c r="Z70" s="30"/>
    </row>
    <row r="71" ht="15.75" customHeight="1">
      <c r="A71" s="30"/>
      <c r="B71" s="35"/>
      <c r="C71" s="30"/>
      <c r="D71" s="30"/>
      <c r="E71" s="36"/>
      <c r="F71" s="36"/>
      <c r="G71" s="30"/>
      <c r="H71" s="30"/>
      <c r="I71" s="30"/>
      <c r="J71" s="30"/>
      <c r="K71" s="30"/>
      <c r="L71" s="30"/>
      <c r="M71" s="30"/>
      <c r="N71" s="36"/>
      <c r="O71" s="30"/>
      <c r="P71" s="30"/>
      <c r="Q71" s="30"/>
      <c r="R71" s="30"/>
      <c r="S71" s="30"/>
      <c r="T71" s="30"/>
      <c r="U71" s="34"/>
      <c r="V71" s="34"/>
      <c r="W71" s="33"/>
      <c r="X71" s="30"/>
      <c r="Y71" s="33"/>
      <c r="Z71" s="30"/>
    </row>
    <row r="72" ht="15.75" customHeight="1">
      <c r="A72" s="30"/>
      <c r="B72" s="35"/>
      <c r="C72" s="30"/>
      <c r="D72" s="30"/>
      <c r="E72" s="36"/>
      <c r="F72" s="36"/>
      <c r="G72" s="30"/>
      <c r="H72" s="30"/>
      <c r="I72" s="30"/>
      <c r="J72" s="30"/>
      <c r="K72" s="30"/>
      <c r="L72" s="30"/>
      <c r="M72" s="30"/>
      <c r="N72" s="33"/>
      <c r="O72" s="30"/>
      <c r="P72" s="30"/>
      <c r="Q72" s="30"/>
      <c r="R72" s="30"/>
      <c r="S72" s="30"/>
      <c r="T72" s="30"/>
      <c r="U72" s="34"/>
      <c r="V72" s="34"/>
      <c r="W72" s="33"/>
      <c r="X72" s="30"/>
      <c r="Y72" s="33"/>
      <c r="Z72" s="30"/>
    </row>
    <row r="73" ht="15.75" customHeight="1">
      <c r="A73" s="30"/>
      <c r="B73" s="35"/>
      <c r="C73" s="30"/>
      <c r="D73" s="30"/>
      <c r="E73" s="36"/>
      <c r="F73" s="36"/>
      <c r="G73" s="30"/>
      <c r="H73" s="30"/>
      <c r="I73" s="30"/>
      <c r="J73" s="30"/>
      <c r="K73" s="30"/>
      <c r="L73" s="30"/>
      <c r="M73" s="30"/>
      <c r="N73" s="36"/>
      <c r="O73" s="30"/>
      <c r="P73" s="30"/>
      <c r="Q73" s="30"/>
      <c r="R73" s="30"/>
      <c r="S73" s="30"/>
      <c r="T73" s="30"/>
      <c r="U73" s="34"/>
      <c r="V73" s="34"/>
      <c r="W73" s="33"/>
      <c r="X73" s="30"/>
      <c r="Y73" s="33"/>
      <c r="Z73" s="30"/>
    </row>
    <row r="74" ht="15.75" customHeight="1">
      <c r="A74" s="30"/>
      <c r="B74" s="35"/>
      <c r="C74" s="30"/>
      <c r="D74" s="30"/>
      <c r="E74" s="36"/>
      <c r="F74" s="36"/>
      <c r="G74" s="30"/>
      <c r="H74" s="30"/>
      <c r="I74" s="30"/>
      <c r="J74" s="30"/>
      <c r="K74" s="30"/>
      <c r="L74" s="30"/>
      <c r="M74" s="30"/>
      <c r="N74" s="36"/>
      <c r="O74" s="30"/>
      <c r="P74" s="30"/>
      <c r="Q74" s="30"/>
      <c r="R74" s="30"/>
      <c r="S74" s="30"/>
      <c r="T74" s="30"/>
      <c r="U74" s="34"/>
      <c r="V74" s="34"/>
      <c r="W74" s="33"/>
      <c r="X74" s="30"/>
      <c r="Y74" s="33"/>
      <c r="Z74" s="30"/>
    </row>
    <row r="75" ht="15.75" customHeight="1">
      <c r="A75" s="38"/>
      <c r="B75" s="30"/>
      <c r="C75" s="30"/>
      <c r="D75" s="30"/>
      <c r="E75" s="36"/>
      <c r="F75" s="36"/>
      <c r="G75" s="30"/>
      <c r="H75" s="30"/>
      <c r="I75" s="30"/>
      <c r="J75" s="30"/>
      <c r="K75" s="30"/>
      <c r="L75" s="30"/>
      <c r="M75" s="30"/>
      <c r="N75" s="33"/>
      <c r="O75" s="30"/>
      <c r="P75" s="30"/>
      <c r="Q75" s="30"/>
      <c r="R75" s="30"/>
      <c r="S75" s="30"/>
      <c r="T75" s="30"/>
      <c r="U75" s="34"/>
      <c r="V75" s="34"/>
      <c r="W75" s="33"/>
      <c r="X75" s="30"/>
      <c r="Y75" s="33"/>
      <c r="Z75" s="30"/>
    </row>
    <row r="76" ht="15.75" customHeight="1">
      <c r="A76" s="30"/>
      <c r="B76" s="35"/>
      <c r="C76" s="30"/>
      <c r="D76" s="30"/>
      <c r="E76" s="36"/>
      <c r="F76" s="36"/>
      <c r="G76" s="30"/>
      <c r="H76" s="30"/>
      <c r="I76" s="30"/>
      <c r="J76" s="30"/>
      <c r="K76" s="30"/>
      <c r="L76" s="30"/>
      <c r="M76" s="30"/>
      <c r="N76" s="33"/>
      <c r="O76" s="30"/>
      <c r="P76" s="30"/>
      <c r="Q76" s="30"/>
      <c r="R76" s="30"/>
      <c r="S76" s="30"/>
      <c r="T76" s="30"/>
      <c r="U76" s="34"/>
      <c r="V76" s="34"/>
      <c r="W76" s="33"/>
      <c r="X76" s="30"/>
      <c r="Y76" s="33"/>
      <c r="Z76" s="30"/>
    </row>
    <row r="77" ht="15.75" customHeight="1">
      <c r="A77" s="30"/>
      <c r="B77" s="35"/>
      <c r="C77" s="30"/>
      <c r="D77" s="30"/>
      <c r="E77" s="36"/>
      <c r="F77" s="36"/>
      <c r="G77" s="30"/>
      <c r="H77" s="30"/>
      <c r="I77" s="30"/>
      <c r="J77" s="30"/>
      <c r="K77" s="30"/>
      <c r="L77" s="30"/>
      <c r="M77" s="30"/>
      <c r="N77" s="36"/>
      <c r="O77" s="30"/>
      <c r="P77" s="30"/>
      <c r="Q77" s="30"/>
      <c r="R77" s="30"/>
      <c r="S77" s="30"/>
      <c r="T77" s="30"/>
      <c r="U77" s="34"/>
      <c r="V77" s="34"/>
      <c r="W77" s="33"/>
      <c r="X77" s="30"/>
      <c r="Y77" s="33"/>
      <c r="Z77" s="30"/>
    </row>
    <row r="78" ht="15.75" customHeight="1">
      <c r="A78" s="38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3"/>
      <c r="O78" s="30"/>
      <c r="P78" s="30"/>
      <c r="Q78" s="30"/>
      <c r="R78" s="30"/>
      <c r="S78" s="30"/>
      <c r="T78" s="30"/>
      <c r="U78" s="34"/>
      <c r="V78" s="34"/>
      <c r="W78" s="33"/>
      <c r="X78" s="30"/>
      <c r="Y78" s="33"/>
      <c r="Z78" s="30"/>
    </row>
    <row r="79" ht="15.75" customHeight="1">
      <c r="A79" s="38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3"/>
      <c r="O79" s="30"/>
      <c r="P79" s="30"/>
      <c r="Q79" s="30"/>
      <c r="R79" s="30"/>
      <c r="S79" s="30"/>
      <c r="T79" s="30"/>
      <c r="U79" s="34"/>
      <c r="V79" s="34"/>
      <c r="W79" s="33"/>
      <c r="X79" s="30"/>
      <c r="Y79" s="33"/>
      <c r="Z79" s="30"/>
    </row>
    <row r="80" ht="15.75" customHeight="1">
      <c r="A80" s="38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3"/>
      <c r="O80" s="30"/>
      <c r="P80" s="30"/>
      <c r="Q80" s="30"/>
      <c r="R80" s="30"/>
      <c r="S80" s="30"/>
      <c r="T80" s="30"/>
      <c r="U80" s="34"/>
      <c r="V80" s="34"/>
      <c r="W80" s="33"/>
      <c r="X80" s="30"/>
      <c r="Y80" s="33"/>
      <c r="Z80" s="30"/>
    </row>
    <row r="81" ht="15.75" customHeight="1">
      <c r="A81" s="38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3"/>
      <c r="O81" s="30"/>
      <c r="P81" s="30"/>
      <c r="Q81" s="30"/>
      <c r="R81" s="30"/>
      <c r="S81" s="30"/>
      <c r="T81" s="30"/>
      <c r="U81" s="34"/>
      <c r="V81" s="34"/>
      <c r="W81" s="33"/>
      <c r="X81" s="30"/>
      <c r="Y81" s="33"/>
      <c r="Z81" s="30"/>
    </row>
    <row r="82" ht="15.75" customHeight="1">
      <c r="A82" s="38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3"/>
      <c r="O82" s="30"/>
      <c r="P82" s="30"/>
      <c r="Q82" s="30"/>
      <c r="R82" s="30"/>
      <c r="S82" s="30"/>
      <c r="T82" s="30"/>
      <c r="U82" s="34"/>
      <c r="V82" s="34"/>
      <c r="W82" s="33"/>
      <c r="X82" s="30"/>
      <c r="Y82" s="33"/>
      <c r="Z82" s="30"/>
    </row>
    <row r="83" ht="15.75" customHeight="1">
      <c r="A83" s="38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3"/>
      <c r="O83" s="30"/>
      <c r="P83" s="30"/>
      <c r="Q83" s="30"/>
      <c r="R83" s="30"/>
      <c r="S83" s="30"/>
      <c r="T83" s="30"/>
      <c r="U83" s="34"/>
      <c r="V83" s="34"/>
      <c r="W83" s="33"/>
      <c r="X83" s="30"/>
      <c r="Y83" s="33"/>
      <c r="Z83" s="30"/>
    </row>
    <row r="84" ht="15.75" customHeight="1">
      <c r="A84" s="38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3"/>
      <c r="O84" s="30"/>
      <c r="P84" s="30"/>
      <c r="Q84" s="30"/>
      <c r="R84" s="30"/>
      <c r="S84" s="30"/>
      <c r="T84" s="30"/>
      <c r="U84" s="34"/>
      <c r="V84" s="34"/>
      <c r="W84" s="33"/>
      <c r="X84" s="30"/>
      <c r="Y84" s="33"/>
      <c r="Z84" s="30"/>
    </row>
    <row r="85" ht="15.75" customHeight="1">
      <c r="A85" s="38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3"/>
      <c r="O85" s="30"/>
      <c r="P85" s="30"/>
      <c r="Q85" s="30"/>
      <c r="R85" s="30"/>
      <c r="S85" s="30"/>
      <c r="T85" s="30"/>
      <c r="U85" s="34"/>
      <c r="V85" s="34"/>
      <c r="W85" s="33"/>
      <c r="X85" s="30"/>
      <c r="Y85" s="33"/>
      <c r="Z85" s="30"/>
    </row>
    <row r="86" ht="15.75" customHeight="1">
      <c r="A86" s="30"/>
      <c r="B86" s="35"/>
      <c r="C86" s="30"/>
      <c r="D86" s="30"/>
      <c r="E86" s="36"/>
      <c r="F86" s="36"/>
      <c r="G86" s="30"/>
      <c r="H86" s="30"/>
      <c r="I86" s="30"/>
      <c r="J86" s="30"/>
      <c r="K86" s="30"/>
      <c r="L86" s="30"/>
      <c r="M86" s="30"/>
      <c r="N86" s="36"/>
      <c r="O86" s="30"/>
      <c r="P86" s="30"/>
      <c r="Q86" s="30"/>
      <c r="R86" s="30"/>
      <c r="S86" s="30"/>
      <c r="T86" s="30"/>
      <c r="U86" s="34"/>
      <c r="V86" s="34"/>
      <c r="W86" s="33"/>
      <c r="X86" s="30"/>
      <c r="Y86" s="33"/>
      <c r="Z86" s="30"/>
    </row>
    <row r="87" ht="15.75" customHeight="1">
      <c r="A87" s="30"/>
      <c r="B87" s="35"/>
      <c r="C87" s="30"/>
      <c r="D87" s="30"/>
      <c r="E87" s="36"/>
      <c r="F87" s="36"/>
      <c r="G87" s="30"/>
      <c r="H87" s="30"/>
      <c r="I87" s="30"/>
      <c r="J87" s="30"/>
      <c r="K87" s="30"/>
      <c r="L87" s="30"/>
      <c r="M87" s="30"/>
      <c r="N87" s="33"/>
      <c r="O87" s="30"/>
      <c r="P87" s="30"/>
      <c r="Q87" s="30"/>
      <c r="R87" s="30"/>
      <c r="S87" s="30"/>
      <c r="T87" s="30"/>
      <c r="U87" s="34"/>
      <c r="V87" s="34"/>
      <c r="W87" s="33"/>
      <c r="X87" s="30"/>
      <c r="Y87" s="33"/>
      <c r="Z87" s="30"/>
    </row>
    <row r="88" ht="15.75" customHeight="1">
      <c r="A88" s="30"/>
      <c r="B88" s="35"/>
      <c r="C88" s="30"/>
      <c r="D88" s="30"/>
      <c r="E88" s="36"/>
      <c r="F88" s="36"/>
      <c r="G88" s="30"/>
      <c r="H88" s="30"/>
      <c r="I88" s="30"/>
      <c r="J88" s="30"/>
      <c r="K88" s="30"/>
      <c r="L88" s="30"/>
      <c r="M88" s="30"/>
      <c r="N88" s="33"/>
      <c r="O88" s="30"/>
      <c r="P88" s="30"/>
      <c r="Q88" s="30"/>
      <c r="R88" s="30"/>
      <c r="S88" s="30"/>
      <c r="T88" s="30"/>
      <c r="U88" s="34"/>
      <c r="V88" s="34"/>
      <c r="W88" s="33"/>
      <c r="X88" s="30"/>
      <c r="Y88" s="33"/>
      <c r="Z88" s="30"/>
    </row>
    <row r="89" ht="15.75" customHeight="1">
      <c r="A89" s="38"/>
      <c r="B89" s="30"/>
      <c r="C89" s="30"/>
      <c r="D89" s="30"/>
      <c r="E89" s="33"/>
      <c r="F89" s="33"/>
      <c r="G89" s="30"/>
      <c r="H89" s="30"/>
      <c r="I89" s="30"/>
      <c r="J89" s="30"/>
      <c r="K89" s="30"/>
      <c r="L89" s="30"/>
      <c r="M89" s="30"/>
      <c r="N89" s="33"/>
      <c r="O89" s="30"/>
      <c r="P89" s="30"/>
      <c r="Q89" s="30"/>
      <c r="R89" s="30"/>
      <c r="S89" s="30"/>
      <c r="T89" s="30"/>
      <c r="U89" s="34"/>
      <c r="V89" s="34"/>
      <c r="W89" s="33"/>
      <c r="X89" s="30"/>
      <c r="Y89" s="33"/>
      <c r="Z89" s="30"/>
    </row>
    <row r="90" ht="15.75" customHeight="1">
      <c r="A90" s="38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3"/>
      <c r="O90" s="30"/>
      <c r="P90" s="30"/>
      <c r="Q90" s="30"/>
      <c r="R90" s="30"/>
      <c r="S90" s="30"/>
      <c r="T90" s="30"/>
      <c r="U90" s="34"/>
      <c r="V90" s="34"/>
      <c r="W90" s="33"/>
      <c r="X90" s="30"/>
      <c r="Y90" s="33"/>
      <c r="Z90" s="30"/>
    </row>
    <row r="91" ht="15.75" customHeight="1">
      <c r="A91" s="38"/>
      <c r="B91" s="30"/>
      <c r="C91" s="30"/>
      <c r="D91" s="30"/>
      <c r="E91" s="36"/>
      <c r="F91" s="36"/>
      <c r="G91" s="30"/>
      <c r="H91" s="30"/>
      <c r="I91" s="30"/>
      <c r="J91" s="30"/>
      <c r="K91" s="30"/>
      <c r="L91" s="30"/>
      <c r="M91" s="30"/>
      <c r="N91" s="36"/>
      <c r="O91" s="30"/>
      <c r="P91" s="30"/>
      <c r="Q91" s="30"/>
      <c r="R91" s="30"/>
      <c r="S91" s="30"/>
      <c r="T91" s="30"/>
      <c r="U91" s="34"/>
      <c r="V91" s="34"/>
      <c r="W91" s="33"/>
      <c r="X91" s="30"/>
      <c r="Y91" s="33"/>
      <c r="Z91" s="30"/>
    </row>
    <row r="92" ht="15.75" customHeight="1">
      <c r="A92" s="38"/>
      <c r="B92" s="30"/>
      <c r="C92" s="30"/>
      <c r="D92" s="30"/>
      <c r="E92" s="33"/>
      <c r="F92" s="33"/>
      <c r="G92" s="30"/>
      <c r="H92" s="30"/>
      <c r="I92" s="30"/>
      <c r="J92" s="30"/>
      <c r="K92" s="30"/>
      <c r="L92" s="30"/>
      <c r="M92" s="30"/>
      <c r="N92" s="33"/>
      <c r="O92" s="30"/>
      <c r="P92" s="30"/>
      <c r="Q92" s="30"/>
      <c r="R92" s="30"/>
      <c r="S92" s="30"/>
      <c r="T92" s="30"/>
      <c r="U92" s="34"/>
      <c r="V92" s="34"/>
      <c r="W92" s="33"/>
      <c r="X92" s="30"/>
      <c r="Y92" s="33"/>
      <c r="Z92" s="30"/>
    </row>
    <row r="93" ht="15.75" customHeight="1">
      <c r="A93" s="38"/>
      <c r="B93" s="30"/>
      <c r="C93" s="30"/>
      <c r="D93" s="30"/>
      <c r="E93" s="33"/>
      <c r="F93" s="33"/>
      <c r="G93" s="30"/>
      <c r="H93" s="30"/>
      <c r="I93" s="30"/>
      <c r="J93" s="30"/>
      <c r="K93" s="30"/>
      <c r="L93" s="30"/>
      <c r="M93" s="30"/>
      <c r="N93" s="33"/>
      <c r="O93" s="30"/>
      <c r="P93" s="30"/>
      <c r="Q93" s="30"/>
      <c r="R93" s="30"/>
      <c r="S93" s="30"/>
      <c r="T93" s="30"/>
      <c r="U93" s="34"/>
      <c r="V93" s="34"/>
      <c r="W93" s="33"/>
      <c r="X93" s="30"/>
      <c r="Y93" s="33"/>
      <c r="Z93" s="30"/>
    </row>
    <row r="94" ht="15.75" customHeight="1">
      <c r="A94" s="38"/>
      <c r="B94" s="30"/>
      <c r="C94" s="30"/>
      <c r="D94" s="30"/>
      <c r="E94" s="33"/>
      <c r="F94" s="33"/>
      <c r="G94" s="30"/>
      <c r="H94" s="30"/>
      <c r="I94" s="30"/>
      <c r="J94" s="30"/>
      <c r="K94" s="30"/>
      <c r="L94" s="30"/>
      <c r="M94" s="30"/>
      <c r="N94" s="33"/>
      <c r="O94" s="30"/>
      <c r="P94" s="30"/>
      <c r="Q94" s="30"/>
      <c r="R94" s="30"/>
      <c r="S94" s="30"/>
      <c r="T94" s="30"/>
      <c r="U94" s="34"/>
      <c r="V94" s="34"/>
      <c r="W94" s="33"/>
      <c r="X94" s="30"/>
      <c r="Y94" s="33"/>
      <c r="Z94" s="30"/>
    </row>
    <row r="95" ht="15.75" customHeight="1">
      <c r="A95" s="38"/>
      <c r="B95" s="30"/>
      <c r="C95" s="30"/>
      <c r="D95" s="30"/>
      <c r="E95" s="33"/>
      <c r="F95" s="33"/>
      <c r="G95" s="30"/>
      <c r="H95" s="30"/>
      <c r="I95" s="30"/>
      <c r="J95" s="30"/>
      <c r="K95" s="30"/>
      <c r="L95" s="30"/>
      <c r="M95" s="30"/>
      <c r="N95" s="33"/>
      <c r="O95" s="30"/>
      <c r="P95" s="30"/>
      <c r="Q95" s="30"/>
      <c r="R95" s="30"/>
      <c r="S95" s="30"/>
      <c r="T95" s="30"/>
      <c r="U95" s="34"/>
      <c r="V95" s="34"/>
      <c r="W95" s="33"/>
      <c r="X95" s="30"/>
      <c r="Y95" s="33"/>
      <c r="Z95" s="30"/>
    </row>
    <row r="96" ht="15.75" customHeight="1">
      <c r="A96" s="38"/>
      <c r="B96" s="30"/>
      <c r="C96" s="30"/>
      <c r="D96" s="30"/>
      <c r="E96" s="33"/>
      <c r="F96" s="33"/>
      <c r="G96" s="30"/>
      <c r="H96" s="30"/>
      <c r="I96" s="30"/>
      <c r="J96" s="30"/>
      <c r="K96" s="30"/>
      <c r="L96" s="30"/>
      <c r="M96" s="30"/>
      <c r="N96" s="33"/>
      <c r="O96" s="30"/>
      <c r="P96" s="30"/>
      <c r="Q96" s="30"/>
      <c r="R96" s="30"/>
      <c r="S96" s="30"/>
      <c r="T96" s="30"/>
      <c r="U96" s="34"/>
      <c r="V96" s="34"/>
      <c r="W96" s="33"/>
      <c r="X96" s="30"/>
      <c r="Y96" s="33"/>
      <c r="Z96" s="30"/>
    </row>
    <row r="97" ht="15.75" customHeight="1">
      <c r="A97" s="38"/>
      <c r="B97" s="30"/>
      <c r="C97" s="30"/>
      <c r="D97" s="30"/>
      <c r="E97" s="33"/>
      <c r="F97" s="33"/>
      <c r="G97" s="30"/>
      <c r="H97" s="30"/>
      <c r="I97" s="30"/>
      <c r="J97" s="30"/>
      <c r="K97" s="30"/>
      <c r="L97" s="30"/>
      <c r="M97" s="30"/>
      <c r="N97" s="33"/>
      <c r="O97" s="30"/>
      <c r="P97" s="30"/>
      <c r="Q97" s="30"/>
      <c r="R97" s="30"/>
      <c r="S97" s="30"/>
      <c r="T97" s="30"/>
      <c r="U97" s="34"/>
      <c r="V97" s="34"/>
      <c r="W97" s="33"/>
      <c r="X97" s="30"/>
      <c r="Y97" s="33"/>
      <c r="Z97" s="30"/>
    </row>
    <row r="98" ht="15.75" customHeight="1">
      <c r="A98" s="38"/>
      <c r="B98" s="30"/>
      <c r="C98" s="30"/>
      <c r="D98" s="30"/>
      <c r="E98" s="33"/>
      <c r="F98" s="33"/>
      <c r="G98" s="30"/>
      <c r="H98" s="30"/>
      <c r="I98" s="30"/>
      <c r="J98" s="30"/>
      <c r="K98" s="30"/>
      <c r="L98" s="30"/>
      <c r="M98" s="30"/>
      <c r="N98" s="33"/>
      <c r="O98" s="30"/>
      <c r="P98" s="30"/>
      <c r="Q98" s="30"/>
      <c r="R98" s="30"/>
      <c r="S98" s="30"/>
      <c r="T98" s="30"/>
      <c r="U98" s="34"/>
      <c r="V98" s="34"/>
      <c r="W98" s="33"/>
      <c r="X98" s="30"/>
      <c r="Y98" s="33"/>
      <c r="Z98" s="30"/>
    </row>
    <row r="99" ht="15.75" customHeight="1">
      <c r="A99" s="38"/>
      <c r="B99" s="30"/>
      <c r="C99" s="30"/>
      <c r="D99" s="30"/>
      <c r="E99" s="33"/>
      <c r="F99" s="33"/>
      <c r="G99" s="30"/>
      <c r="H99" s="30"/>
      <c r="I99" s="30"/>
      <c r="J99" s="30"/>
      <c r="K99" s="30"/>
      <c r="L99" s="30"/>
      <c r="M99" s="30"/>
      <c r="N99" s="33"/>
      <c r="O99" s="30"/>
      <c r="P99" s="30"/>
      <c r="Q99" s="30"/>
      <c r="R99" s="30"/>
      <c r="S99" s="30"/>
      <c r="T99" s="30"/>
      <c r="U99" s="34"/>
      <c r="V99" s="34"/>
      <c r="W99" s="33"/>
      <c r="X99" s="30"/>
      <c r="Y99" s="33"/>
      <c r="Z99" s="30"/>
    </row>
    <row r="100" ht="15.75" customHeight="1">
      <c r="A100" s="38"/>
      <c r="B100" s="30"/>
      <c r="C100" s="30"/>
      <c r="D100" s="30"/>
      <c r="E100" s="33"/>
      <c r="F100" s="33"/>
      <c r="G100" s="30"/>
      <c r="H100" s="30"/>
      <c r="I100" s="30"/>
      <c r="J100" s="30"/>
      <c r="K100" s="30"/>
      <c r="L100" s="30"/>
      <c r="M100" s="30"/>
      <c r="N100" s="33"/>
      <c r="O100" s="30"/>
      <c r="P100" s="30"/>
      <c r="Q100" s="30"/>
      <c r="R100" s="30"/>
      <c r="S100" s="30"/>
      <c r="T100" s="30"/>
      <c r="U100" s="34"/>
      <c r="V100" s="34"/>
      <c r="W100" s="33"/>
      <c r="X100" s="30"/>
      <c r="Y100" s="33"/>
      <c r="Z100" s="30"/>
    </row>
    <row r="101" ht="15.75" customHeight="1">
      <c r="A101" s="38"/>
      <c r="B101" s="30"/>
      <c r="C101" s="30"/>
      <c r="D101" s="30"/>
      <c r="E101" s="33"/>
      <c r="F101" s="33"/>
      <c r="G101" s="30"/>
      <c r="H101" s="30"/>
      <c r="I101" s="30"/>
      <c r="J101" s="30"/>
      <c r="K101" s="30"/>
      <c r="L101" s="30"/>
      <c r="M101" s="30"/>
      <c r="N101" s="33"/>
      <c r="O101" s="30"/>
      <c r="P101" s="30"/>
      <c r="Q101" s="30"/>
      <c r="R101" s="30"/>
      <c r="S101" s="30"/>
      <c r="T101" s="30"/>
      <c r="U101" s="34"/>
      <c r="V101" s="34"/>
      <c r="W101" s="33"/>
      <c r="X101" s="30"/>
      <c r="Y101" s="33"/>
      <c r="Z101" s="30"/>
    </row>
    <row r="102" ht="15.75" customHeight="1">
      <c r="A102" s="38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3"/>
      <c r="O102" s="30"/>
      <c r="P102" s="30"/>
      <c r="Q102" s="30"/>
      <c r="R102" s="30"/>
      <c r="S102" s="30"/>
      <c r="T102" s="30"/>
      <c r="U102" s="34"/>
      <c r="V102" s="34"/>
      <c r="W102" s="33"/>
      <c r="X102" s="30"/>
      <c r="Y102" s="33"/>
      <c r="Z102" s="30"/>
    </row>
    <row r="103" ht="15.75" customHeight="1">
      <c r="A103" s="38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3"/>
      <c r="O103" s="30"/>
      <c r="P103" s="30"/>
      <c r="Q103" s="30"/>
      <c r="R103" s="30"/>
      <c r="S103" s="30"/>
      <c r="T103" s="30"/>
      <c r="U103" s="34"/>
      <c r="V103" s="34"/>
      <c r="W103" s="33"/>
      <c r="X103" s="30"/>
      <c r="Y103" s="33"/>
      <c r="Z103" s="30"/>
    </row>
    <row r="104" ht="15.75" customHeight="1">
      <c r="A104" s="38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3"/>
      <c r="O104" s="30"/>
      <c r="P104" s="30"/>
      <c r="Q104" s="30"/>
      <c r="R104" s="30"/>
      <c r="S104" s="30"/>
      <c r="T104" s="30"/>
      <c r="U104" s="34"/>
      <c r="V104" s="34"/>
      <c r="W104" s="33"/>
      <c r="X104" s="30"/>
      <c r="Y104" s="33"/>
      <c r="Z104" s="30"/>
    </row>
    <row r="105" ht="15.75" customHeight="1">
      <c r="A105" s="38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3"/>
      <c r="O105" s="30"/>
      <c r="P105" s="30"/>
      <c r="Q105" s="30"/>
      <c r="R105" s="30"/>
      <c r="S105" s="30"/>
      <c r="T105" s="30"/>
      <c r="U105" s="34"/>
      <c r="V105" s="34"/>
      <c r="W105" s="33"/>
      <c r="X105" s="30"/>
      <c r="Y105" s="33"/>
      <c r="Z105" s="30"/>
    </row>
    <row r="106" ht="15.75" customHeight="1">
      <c r="A106" s="38"/>
      <c r="B106" s="30"/>
      <c r="C106" s="30"/>
      <c r="D106" s="30"/>
      <c r="E106" s="33"/>
      <c r="F106" s="33"/>
      <c r="G106" s="30"/>
      <c r="H106" s="30"/>
      <c r="I106" s="30"/>
      <c r="J106" s="30"/>
      <c r="K106" s="30"/>
      <c r="L106" s="30"/>
      <c r="M106" s="30"/>
      <c r="N106" s="33"/>
      <c r="O106" s="30"/>
      <c r="P106" s="30"/>
      <c r="Q106" s="30"/>
      <c r="R106" s="30"/>
      <c r="S106" s="30"/>
      <c r="T106" s="30"/>
      <c r="U106" s="34"/>
      <c r="V106" s="34"/>
      <c r="W106" s="33"/>
      <c r="X106" s="30"/>
      <c r="Y106" s="33"/>
      <c r="Z106" s="30"/>
    </row>
    <row r="107" ht="15.75" customHeight="1">
      <c r="A107" s="38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3"/>
      <c r="O107" s="30"/>
      <c r="P107" s="30"/>
      <c r="Q107" s="30"/>
      <c r="R107" s="30"/>
      <c r="S107" s="30"/>
      <c r="T107" s="30"/>
      <c r="U107" s="34"/>
      <c r="V107" s="34"/>
      <c r="W107" s="33"/>
      <c r="X107" s="30"/>
      <c r="Y107" s="33"/>
      <c r="Z107" s="30"/>
    </row>
    <row r="108" ht="15.75" customHeight="1">
      <c r="A108" s="38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3"/>
      <c r="O108" s="30"/>
      <c r="P108" s="30"/>
      <c r="Q108" s="30"/>
      <c r="R108" s="30"/>
      <c r="S108" s="30"/>
      <c r="T108" s="30"/>
      <c r="U108" s="34"/>
      <c r="V108" s="34"/>
      <c r="W108" s="33"/>
      <c r="X108" s="30"/>
      <c r="Y108" s="33"/>
      <c r="Z108" s="30"/>
    </row>
    <row r="109" ht="15.75" customHeight="1">
      <c r="A109" s="38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3"/>
      <c r="O109" s="30"/>
      <c r="P109" s="30"/>
      <c r="Q109" s="30"/>
      <c r="R109" s="30"/>
      <c r="S109" s="30"/>
      <c r="T109" s="30"/>
      <c r="U109" s="34"/>
      <c r="V109" s="34"/>
      <c r="W109" s="33"/>
      <c r="X109" s="30"/>
      <c r="Y109" s="33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3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3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3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3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3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3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3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3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3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3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3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3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3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3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3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3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3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3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3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3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3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3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3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3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3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3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3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3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3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3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3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3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3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3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3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3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3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3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3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3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3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3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3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3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3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3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3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3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3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3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3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3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3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3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3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3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3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3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5"/>
    <col customWidth="1" min="2" max="4" width="12.63"/>
    <col customWidth="1" min="5" max="5" width="4.38"/>
    <col customWidth="1" min="6" max="6" width="12.63"/>
    <col customWidth="1" min="9" max="9" width="4.38"/>
  </cols>
  <sheetData>
    <row r="1" ht="15.75" customHeight="1">
      <c r="B1" s="39" t="s">
        <v>71</v>
      </c>
      <c r="C1" s="39" t="s">
        <v>72</v>
      </c>
      <c r="D1" s="39" t="s">
        <v>73</v>
      </c>
      <c r="F1" s="39" t="s">
        <v>74</v>
      </c>
      <c r="G1" s="39" t="s">
        <v>75</v>
      </c>
      <c r="H1" s="39" t="s">
        <v>76</v>
      </c>
      <c r="J1" s="39" t="s">
        <v>77</v>
      </c>
      <c r="K1" s="39" t="s">
        <v>78</v>
      </c>
      <c r="L1" s="39" t="s">
        <v>79</v>
      </c>
    </row>
    <row r="2" ht="15.75" customHeight="1">
      <c r="A2" s="39" t="s">
        <v>80</v>
      </c>
    </row>
    <row r="3" ht="15.75" customHeight="1">
      <c r="A3" s="39" t="s">
        <v>81</v>
      </c>
      <c r="B3" s="40"/>
      <c r="C3" s="40"/>
      <c r="D3" s="40"/>
      <c r="F3" s="40"/>
      <c r="G3" s="40"/>
      <c r="H3" s="40"/>
      <c r="J3" s="40"/>
      <c r="K3" s="40"/>
      <c r="L3" s="40"/>
    </row>
    <row r="4" ht="15.75" customHeight="1">
      <c r="A4" s="39" t="s">
        <v>54</v>
      </c>
      <c r="B4" s="41" t="s">
        <v>82</v>
      </c>
      <c r="C4" s="41" t="s">
        <v>83</v>
      </c>
      <c r="D4" s="41" t="s">
        <v>84</v>
      </c>
      <c r="F4" s="41" t="s">
        <v>82</v>
      </c>
      <c r="G4" s="41" t="s">
        <v>83</v>
      </c>
      <c r="H4" s="41" t="s">
        <v>84</v>
      </c>
      <c r="I4" s="42"/>
      <c r="J4" s="41" t="s">
        <v>82</v>
      </c>
      <c r="K4" s="41" t="s">
        <v>83</v>
      </c>
      <c r="L4" s="41" t="s">
        <v>84</v>
      </c>
    </row>
    <row r="5" ht="15.75" customHeight="1">
      <c r="A5" s="43" t="s">
        <v>85</v>
      </c>
      <c r="B5" s="44" t="str">
        <f t="shared" ref="B5:D5" si="1">IF(B4="CLT","13,33",IF(B4="PJ","12",IF(B4="Estatutário","12",IF(B4="RSU","12","NULL"))))</f>
        <v>13,33</v>
      </c>
      <c r="C5" s="44" t="str">
        <f t="shared" si="1"/>
        <v>12</v>
      </c>
      <c r="D5" s="44" t="str">
        <f t="shared" si="1"/>
        <v>12</v>
      </c>
      <c r="F5" s="44" t="str">
        <f t="shared" ref="F5:H5" si="2">IF(F4="CLT","13,33",IF(F4="PJ","12",IF(F4="Estatutário","12",IF(F4="RSU","12","NULL"))))</f>
        <v>13,33</v>
      </c>
      <c r="G5" s="44" t="str">
        <f t="shared" si="2"/>
        <v>12</v>
      </c>
      <c r="H5" s="44" t="str">
        <f t="shared" si="2"/>
        <v>12</v>
      </c>
      <c r="J5" s="44" t="str">
        <f t="shared" ref="J5:L5" si="3">IF(J4="CLT","13,33",IF(J4="PJ","12",IF(J4="Estatutário","12",IF(J4="RSU","12","NULL"))))</f>
        <v>13,33</v>
      </c>
      <c r="K5" s="44" t="str">
        <f t="shared" si="3"/>
        <v>12</v>
      </c>
      <c r="L5" s="44" t="str">
        <f t="shared" si="3"/>
        <v>12</v>
      </c>
    </row>
    <row r="6" ht="15.75" customHeight="1">
      <c r="A6" s="43" t="s">
        <v>86</v>
      </c>
      <c r="B6" s="41"/>
      <c r="C6" s="41"/>
      <c r="D6" s="41"/>
      <c r="F6" s="41"/>
      <c r="G6" s="41"/>
      <c r="H6" s="41"/>
      <c r="J6" s="41"/>
      <c r="K6" s="41"/>
      <c r="L6" s="41"/>
    </row>
    <row r="7" ht="15.75" customHeight="1">
      <c r="A7" s="39" t="s">
        <v>87</v>
      </c>
    </row>
    <row r="8" ht="15.75" customHeight="1">
      <c r="A8" s="39" t="s">
        <v>88</v>
      </c>
      <c r="B8" s="40">
        <f t="shared" ref="B8:D8" si="4">B3*B5</f>
        <v>0</v>
      </c>
      <c r="C8" s="40">
        <f t="shared" si="4"/>
        <v>0</v>
      </c>
      <c r="D8" s="40">
        <f t="shared" si="4"/>
        <v>0</v>
      </c>
      <c r="F8" s="40">
        <f t="shared" ref="F8:H8" si="5">F3*F5</f>
        <v>0</v>
      </c>
      <c r="G8" s="40">
        <f t="shared" si="5"/>
        <v>0</v>
      </c>
      <c r="H8" s="40">
        <f t="shared" si="5"/>
        <v>0</v>
      </c>
      <c r="J8" s="40">
        <f t="shared" ref="J8:L8" si="6">J3*J5</f>
        <v>0</v>
      </c>
      <c r="K8" s="40">
        <f t="shared" si="6"/>
        <v>0</v>
      </c>
      <c r="L8" s="40">
        <f t="shared" si="6"/>
        <v>0</v>
      </c>
    </row>
    <row r="9" ht="15.75" customHeight="1">
      <c r="A9" s="39" t="s">
        <v>89</v>
      </c>
      <c r="B9" s="40">
        <f t="shared" ref="B9:D9" si="7">B6*B3</f>
        <v>0</v>
      </c>
      <c r="C9" s="40">
        <f t="shared" si="7"/>
        <v>0</v>
      </c>
      <c r="D9" s="40">
        <f t="shared" si="7"/>
        <v>0</v>
      </c>
      <c r="F9" s="40">
        <f t="shared" ref="F9:H9" si="8">F6*F3</f>
        <v>0</v>
      </c>
      <c r="G9" s="40">
        <f t="shared" si="8"/>
        <v>0</v>
      </c>
      <c r="H9" s="40">
        <f t="shared" si="8"/>
        <v>0</v>
      </c>
      <c r="J9" s="40">
        <f t="shared" ref="J9:L9" si="9">J6*J3</f>
        <v>0</v>
      </c>
      <c r="K9" s="40">
        <f t="shared" si="9"/>
        <v>0</v>
      </c>
      <c r="L9" s="40">
        <f t="shared" si="9"/>
        <v>0</v>
      </c>
    </row>
    <row r="10" ht="15.75" customHeight="1">
      <c r="A10" s="39" t="s">
        <v>90</v>
      </c>
      <c r="B10" s="40"/>
      <c r="C10" s="40"/>
      <c r="D10" s="40"/>
      <c r="F10" s="40"/>
      <c r="G10" s="40"/>
      <c r="H10" s="40"/>
      <c r="J10" s="40"/>
      <c r="K10" s="40"/>
      <c r="L10" s="40"/>
    </row>
    <row r="11" ht="15.75" customHeight="1">
      <c r="A11" s="39" t="s">
        <v>91</v>
      </c>
      <c r="B11" s="40">
        <f t="shared" ref="B11:D11" si="10">IF(B4="CLT",B3*0.08*12,"")</f>
        <v>0</v>
      </c>
      <c r="C11" s="40" t="str">
        <f t="shared" si="10"/>
        <v/>
      </c>
      <c r="D11" s="40" t="str">
        <f t="shared" si="10"/>
        <v/>
      </c>
      <c r="F11" s="40">
        <f t="shared" ref="F11:H11" si="11">IF(F4="CLT",F3*0.08*12,"")</f>
        <v>0</v>
      </c>
      <c r="G11" s="40" t="str">
        <f t="shared" si="11"/>
        <v/>
      </c>
      <c r="H11" s="40" t="str">
        <f t="shared" si="11"/>
        <v/>
      </c>
      <c r="J11" s="40">
        <f t="shared" ref="J11:L11" si="12">IF(J4="CLT",J3*0.08*12,"")</f>
        <v>0</v>
      </c>
      <c r="K11" s="40" t="str">
        <f t="shared" si="12"/>
        <v/>
      </c>
      <c r="L11" s="40" t="str">
        <f t="shared" si="12"/>
        <v/>
      </c>
    </row>
    <row r="12" ht="15.75" customHeight="1">
      <c r="A12" s="39" t="s">
        <v>92</v>
      </c>
      <c r="B12" s="40"/>
      <c r="C12" s="40"/>
      <c r="D12" s="40"/>
      <c r="F12" s="40"/>
      <c r="G12" s="40"/>
      <c r="H12" s="40"/>
      <c r="J12" s="40"/>
      <c r="K12" s="40"/>
      <c r="L12" s="40"/>
    </row>
    <row r="13" ht="15.75" customHeight="1">
      <c r="A13" s="39" t="s">
        <v>93</v>
      </c>
      <c r="B13" s="40"/>
      <c r="C13" s="40"/>
      <c r="D13" s="40"/>
      <c r="F13" s="40"/>
      <c r="G13" s="40"/>
      <c r="H13" s="40"/>
      <c r="J13" s="40"/>
      <c r="K13" s="40"/>
      <c r="L13" s="40"/>
    </row>
    <row r="14" ht="15.75" customHeight="1">
      <c r="A14" s="39" t="s">
        <v>94</v>
      </c>
      <c r="B14" s="40"/>
      <c r="C14" s="40"/>
      <c r="D14" s="40"/>
      <c r="F14" s="40"/>
      <c r="G14" s="40"/>
      <c r="H14" s="40"/>
      <c r="J14" s="40"/>
      <c r="K14" s="40"/>
      <c r="L14" s="40"/>
    </row>
    <row r="15" ht="15.75" customHeight="1">
      <c r="A15" s="39" t="s">
        <v>95</v>
      </c>
      <c r="B15" s="40"/>
      <c r="C15" s="40"/>
      <c r="D15" s="40"/>
      <c r="F15" s="40"/>
      <c r="G15" s="40"/>
      <c r="H15" s="40"/>
      <c r="J15" s="40"/>
      <c r="K15" s="40"/>
      <c r="L15" s="40"/>
    </row>
    <row r="16" ht="15.75" customHeight="1">
      <c r="A16" s="39" t="s">
        <v>96</v>
      </c>
      <c r="B16" s="40"/>
      <c r="C16" s="40"/>
      <c r="D16" s="40"/>
      <c r="F16" s="40"/>
      <c r="G16" s="40"/>
      <c r="H16" s="40"/>
      <c r="J16" s="40"/>
      <c r="K16" s="40"/>
      <c r="L16" s="40"/>
    </row>
    <row r="17" ht="15.75" customHeight="1">
      <c r="A17" s="39" t="s">
        <v>97</v>
      </c>
      <c r="B17" s="40"/>
      <c r="C17" s="40"/>
      <c r="D17" s="40"/>
      <c r="F17" s="40"/>
      <c r="G17" s="40"/>
      <c r="H17" s="40"/>
      <c r="J17" s="40"/>
      <c r="K17" s="40"/>
      <c r="L17" s="40"/>
    </row>
    <row r="18" ht="15.75" customHeight="1">
      <c r="A18" s="39" t="s">
        <v>98</v>
      </c>
      <c r="B18" s="40"/>
      <c r="C18" s="40"/>
      <c r="D18" s="40"/>
      <c r="F18" s="40"/>
      <c r="G18" s="40"/>
      <c r="H18" s="40"/>
      <c r="J18" s="40"/>
      <c r="K18" s="40"/>
      <c r="L18" s="40"/>
    </row>
    <row r="19" ht="15.75" customHeight="1">
      <c r="A19" s="39" t="s">
        <v>99</v>
      </c>
      <c r="B19" s="40"/>
      <c r="C19" s="40"/>
      <c r="D19" s="40"/>
      <c r="F19" s="40"/>
      <c r="G19" s="40"/>
      <c r="H19" s="40"/>
      <c r="J19" s="40"/>
      <c r="K19" s="40"/>
      <c r="L19" s="40"/>
    </row>
    <row r="20" ht="15.75" customHeight="1">
      <c r="A20" s="39" t="s">
        <v>100</v>
      </c>
      <c r="B20" s="40"/>
      <c r="C20" s="40"/>
      <c r="D20" s="40"/>
      <c r="F20" s="40"/>
      <c r="G20" s="40"/>
      <c r="H20" s="40"/>
      <c r="J20" s="40"/>
      <c r="K20" s="40"/>
      <c r="L20" s="40"/>
    </row>
    <row r="21" ht="15.75" customHeight="1">
      <c r="A21" s="39" t="s">
        <v>101</v>
      </c>
      <c r="B21" s="45"/>
      <c r="C21" s="40"/>
      <c r="D21" s="40"/>
      <c r="F21" s="45"/>
      <c r="G21" s="40"/>
      <c r="H21" s="40"/>
      <c r="J21" s="45"/>
      <c r="K21" s="40"/>
      <c r="L21" s="40"/>
    </row>
    <row r="22" ht="15.75" customHeight="1">
      <c r="A22" s="39" t="s">
        <v>102</v>
      </c>
      <c r="B22" s="40"/>
      <c r="C22" s="40"/>
      <c r="D22" s="40"/>
      <c r="F22" s="40"/>
      <c r="G22" s="40"/>
      <c r="H22" s="40"/>
      <c r="J22" s="40"/>
      <c r="K22" s="40"/>
      <c r="L22" s="40"/>
    </row>
    <row r="23" ht="15.75" customHeight="1">
      <c r="A23" s="39" t="s">
        <v>103</v>
      </c>
      <c r="B23" s="40" t="str">
        <f t="shared" ref="B23:D23" si="13">IF(B4="CLT","27,5%",IF(B4="PJ","PREENCHER",IF(B4="Estatutário","27,5%",IF(B4="RSU","PREENCHER","0"))))</f>
        <v>27,5%</v>
      </c>
      <c r="C23" s="40" t="str">
        <f t="shared" si="13"/>
        <v>PREENCHER</v>
      </c>
      <c r="D23" s="40" t="str">
        <f t="shared" si="13"/>
        <v>PREENCHER</v>
      </c>
      <c r="F23" s="40" t="str">
        <f t="shared" ref="F23:H23" si="14">IF(F4="CLT","27,5%",IF(F4="PJ","PREENCHER",IF(F4="Estatutário","27,5%",IF(F4="RSU","PREENCHER","0"))))</f>
        <v>27,5%</v>
      </c>
      <c r="G23" s="40" t="str">
        <f t="shared" si="14"/>
        <v>PREENCHER</v>
      </c>
      <c r="H23" s="40" t="str">
        <f t="shared" si="14"/>
        <v>PREENCHER</v>
      </c>
      <c r="J23" s="40" t="str">
        <f t="shared" ref="J23:L23" si="15">IF(J4="CLT","27,5%",IF(J4="PJ","PREENCHER",IF(J4="Estatutário","27,5%",IF(J4="RSU","PREENCHER","0"))))</f>
        <v>27,5%</v>
      </c>
      <c r="K23" s="40" t="str">
        <f t="shared" si="15"/>
        <v>PREENCHER</v>
      </c>
      <c r="L23" s="40" t="str">
        <f t="shared" si="15"/>
        <v>PREENCHER</v>
      </c>
    </row>
    <row r="24" ht="15.75" customHeight="1">
      <c r="A24" s="39" t="s">
        <v>104</v>
      </c>
      <c r="B24" s="40">
        <f t="shared" ref="B24:D24" si="16">SUM(B8:B22)</f>
        <v>0</v>
      </c>
      <c r="C24" s="40">
        <f t="shared" si="16"/>
        <v>0</v>
      </c>
      <c r="D24" s="40">
        <f t="shared" si="16"/>
        <v>0</v>
      </c>
      <c r="F24" s="40">
        <f t="shared" ref="F24:H24" si="17">SUM(F8:F22)</f>
        <v>0</v>
      </c>
      <c r="G24" s="40">
        <f t="shared" si="17"/>
        <v>0</v>
      </c>
      <c r="H24" s="40">
        <f t="shared" si="17"/>
        <v>0</v>
      </c>
      <c r="J24" s="40">
        <f t="shared" ref="J24:L24" si="18">SUM(J8:J22)</f>
        <v>0</v>
      </c>
      <c r="K24" s="40">
        <f t="shared" si="18"/>
        <v>0</v>
      </c>
      <c r="L24" s="40">
        <f t="shared" si="18"/>
        <v>0</v>
      </c>
    </row>
    <row r="25" ht="15.75" customHeight="1">
      <c r="A25" s="39" t="s">
        <v>105</v>
      </c>
      <c r="B25" s="40"/>
      <c r="C25" s="40">
        <f>C24-B24</f>
        <v>0</v>
      </c>
      <c r="D25" s="40">
        <f>D24-B24</f>
        <v>0</v>
      </c>
      <c r="F25" s="40"/>
      <c r="G25" s="40">
        <f>G24-F24</f>
        <v>0</v>
      </c>
      <c r="H25" s="40">
        <f>H24-F24</f>
        <v>0</v>
      </c>
      <c r="J25" s="40"/>
      <c r="K25" s="40">
        <f>K24-J24</f>
        <v>0</v>
      </c>
      <c r="L25" s="40">
        <f>L24-J24</f>
        <v>0</v>
      </c>
    </row>
    <row r="26" ht="15.75" customHeight="1">
      <c r="A26" s="39" t="s">
        <v>106</v>
      </c>
      <c r="B26" s="40"/>
      <c r="C26" s="46" t="str">
        <f>C25/B24</f>
        <v>#DIV/0!</v>
      </c>
      <c r="D26" s="46" t="str">
        <f>D25/B24</f>
        <v>#DIV/0!</v>
      </c>
      <c r="F26" s="40"/>
      <c r="G26" s="46" t="str">
        <f>G25/F24</f>
        <v>#DIV/0!</v>
      </c>
      <c r="H26" s="46" t="str">
        <f>H25/F24</f>
        <v>#DIV/0!</v>
      </c>
      <c r="J26" s="40"/>
      <c r="K26" s="46" t="str">
        <f>K25/J24</f>
        <v>#DIV/0!</v>
      </c>
      <c r="L26" s="46" t="str">
        <f>L25/J24</f>
        <v>#DIV/0!</v>
      </c>
    </row>
    <row r="27" ht="15.75" customHeight="1">
      <c r="A27" s="39" t="s">
        <v>107</v>
      </c>
      <c r="B27" s="40">
        <f t="shared" ref="B27:D27" si="19">SUM(B8:B10)*(1-B23)+SUM(B11:B22)</f>
        <v>0</v>
      </c>
      <c r="C27" s="42" t="str">
        <f t="shared" si="19"/>
        <v>#VALUE!</v>
      </c>
      <c r="D27" s="42" t="str">
        <f t="shared" si="19"/>
        <v>#VALUE!</v>
      </c>
      <c r="F27" s="40">
        <f t="shared" ref="F27:H27" si="20">SUM(F8:F10)*(1-F23)+SUM(F11:F22)</f>
        <v>0</v>
      </c>
      <c r="G27" s="42" t="str">
        <f t="shared" si="20"/>
        <v>#VALUE!</v>
      </c>
      <c r="H27" s="42" t="str">
        <f t="shared" si="20"/>
        <v>#VALUE!</v>
      </c>
      <c r="J27" s="40">
        <f t="shared" ref="J27:L27" si="21">SUM(J8:J10)*(1-J23)+SUM(J11:J22)</f>
        <v>0</v>
      </c>
      <c r="K27" s="42" t="str">
        <f t="shared" si="21"/>
        <v>#VALUE!</v>
      </c>
      <c r="L27" s="42" t="str">
        <f t="shared" si="21"/>
        <v>#VALUE!</v>
      </c>
    </row>
    <row r="28" ht="15.75" customHeight="1">
      <c r="A28" s="39" t="s">
        <v>108</v>
      </c>
      <c r="B28" s="40"/>
      <c r="C28" s="40" t="str">
        <f>C27-B27</f>
        <v>#VALUE!</v>
      </c>
      <c r="D28" s="40" t="str">
        <f>D27-B27</f>
        <v>#VALUE!</v>
      </c>
      <c r="F28" s="40"/>
      <c r="G28" s="40" t="str">
        <f>G27-F27</f>
        <v>#VALUE!</v>
      </c>
      <c r="H28" s="40" t="str">
        <f>H27-F27</f>
        <v>#VALUE!</v>
      </c>
      <c r="J28" s="40"/>
      <c r="K28" s="40" t="str">
        <f>K27-J27</f>
        <v>#VALUE!</v>
      </c>
      <c r="L28" s="40" t="str">
        <f>L27-J27</f>
        <v>#VALUE!</v>
      </c>
    </row>
    <row r="29" ht="15.75" customHeight="1">
      <c r="A29" s="39" t="s">
        <v>109</v>
      </c>
      <c r="B29" s="40"/>
      <c r="C29" s="46" t="str">
        <f>C28/B27</f>
        <v>#VALUE!</v>
      </c>
      <c r="D29" s="46" t="str">
        <f>D28/B27</f>
        <v>#VALUE!</v>
      </c>
      <c r="F29" s="40"/>
      <c r="G29" s="46" t="str">
        <f>G28/F27</f>
        <v>#VALUE!</v>
      </c>
      <c r="H29" s="46" t="str">
        <f>H28/F27</f>
        <v>#VALUE!</v>
      </c>
      <c r="J29" s="40"/>
      <c r="K29" s="46" t="str">
        <f>K28/J27</f>
        <v>#VALUE!</v>
      </c>
      <c r="L29" s="46" t="str">
        <f>L28/J27</f>
        <v>#VALUE!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4:D4 F4:H4 J4:L4">
      <formula1>"PJ,CLT,Estatutário,RSU"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50.5"/>
    <col customWidth="1" min="4" max="4" width="17.13"/>
    <col customWidth="1" min="5" max="5" width="50.5"/>
    <col customWidth="1" min="6" max="6" width="17.13"/>
    <col customWidth="1" min="7" max="7" width="50.5"/>
    <col customWidth="1" min="8" max="8" width="17.13"/>
    <col customWidth="1" min="9" max="9" width="50.5"/>
    <col customWidth="1" min="10" max="10" width="3.88"/>
  </cols>
  <sheetData>
    <row r="1" ht="15.75" customHeight="1">
      <c r="A1" s="47"/>
      <c r="B1" s="48"/>
      <c r="C1" s="47"/>
      <c r="D1" s="47"/>
      <c r="E1" s="47"/>
      <c r="F1" s="47"/>
      <c r="G1" s="47"/>
      <c r="H1" s="47"/>
      <c r="I1" s="47"/>
      <c r="J1" s="47"/>
    </row>
    <row r="2" ht="15.75" customHeight="1">
      <c r="A2" s="47"/>
      <c r="B2" s="49" t="s">
        <v>110</v>
      </c>
      <c r="C2" s="50" t="s">
        <v>111</v>
      </c>
      <c r="D2" s="49" t="s">
        <v>112</v>
      </c>
      <c r="E2" s="50" t="s">
        <v>113</v>
      </c>
      <c r="F2" s="49" t="s">
        <v>114</v>
      </c>
      <c r="G2" s="50" t="s">
        <v>115</v>
      </c>
      <c r="H2" s="49" t="s">
        <v>116</v>
      </c>
      <c r="I2" s="50" t="s">
        <v>117</v>
      </c>
      <c r="J2" s="47"/>
    </row>
    <row r="3" ht="15.75" customHeight="1">
      <c r="A3" s="51"/>
      <c r="B3" s="52" t="s">
        <v>118</v>
      </c>
      <c r="C3" s="53" t="s">
        <v>119</v>
      </c>
      <c r="D3" s="52" t="s">
        <v>120</v>
      </c>
      <c r="E3" s="53" t="s">
        <v>119</v>
      </c>
      <c r="F3" s="52" t="s">
        <v>121</v>
      </c>
      <c r="G3" s="53" t="s">
        <v>119</v>
      </c>
      <c r="H3" s="52" t="s">
        <v>122</v>
      </c>
      <c r="I3" s="53" t="s">
        <v>119</v>
      </c>
      <c r="J3" s="51"/>
    </row>
    <row r="4" ht="111.75" customHeight="1">
      <c r="A4" s="54"/>
      <c r="B4" s="55" t="s">
        <v>123</v>
      </c>
      <c r="C4" s="56" t="s">
        <v>124</v>
      </c>
      <c r="D4" s="55" t="s">
        <v>125</v>
      </c>
      <c r="E4" s="56" t="s">
        <v>126</v>
      </c>
      <c r="F4" s="55" t="s">
        <v>127</v>
      </c>
      <c r="G4" s="56" t="s">
        <v>128</v>
      </c>
      <c r="H4" s="55" t="s">
        <v>129</v>
      </c>
      <c r="I4" s="56" t="s">
        <v>128</v>
      </c>
      <c r="J4" s="54"/>
    </row>
    <row r="5" ht="15.75" customHeight="1">
      <c r="A5" s="51"/>
      <c r="B5" s="52" t="s">
        <v>130</v>
      </c>
      <c r="C5" s="53" t="s">
        <v>119</v>
      </c>
      <c r="D5" s="52" t="s">
        <v>131</v>
      </c>
      <c r="E5" s="53" t="s">
        <v>119</v>
      </c>
      <c r="F5" s="52" t="s">
        <v>132</v>
      </c>
      <c r="G5" s="53" t="s">
        <v>119</v>
      </c>
      <c r="H5" s="52" t="s">
        <v>133</v>
      </c>
      <c r="I5" s="53" t="s">
        <v>119</v>
      </c>
      <c r="J5" s="51"/>
    </row>
    <row r="6" ht="111.75" customHeight="1">
      <c r="A6" s="54"/>
      <c r="B6" s="55" t="s">
        <v>134</v>
      </c>
      <c r="C6" s="56" t="s">
        <v>124</v>
      </c>
      <c r="D6" s="55" t="s">
        <v>135</v>
      </c>
      <c r="E6" s="56" t="s">
        <v>124</v>
      </c>
      <c r="F6" s="55" t="s">
        <v>136</v>
      </c>
      <c r="G6" s="56" t="s">
        <v>128</v>
      </c>
      <c r="H6" s="55" t="s">
        <v>137</v>
      </c>
      <c r="I6" s="56" t="s">
        <v>128</v>
      </c>
      <c r="J6" s="54"/>
    </row>
    <row r="7" ht="15.75" customHeight="1">
      <c r="A7" s="51"/>
      <c r="B7" s="52" t="s">
        <v>138</v>
      </c>
      <c r="C7" s="53" t="s">
        <v>119</v>
      </c>
      <c r="D7" s="52" t="s">
        <v>139</v>
      </c>
      <c r="E7" s="53" t="s">
        <v>119</v>
      </c>
      <c r="F7" s="52" t="s">
        <v>140</v>
      </c>
      <c r="G7" s="53" t="s">
        <v>119</v>
      </c>
      <c r="H7" s="52" t="s">
        <v>141</v>
      </c>
      <c r="I7" s="53" t="s">
        <v>119</v>
      </c>
      <c r="J7" s="51"/>
    </row>
    <row r="8" ht="111.75" customHeight="1">
      <c r="A8" s="54"/>
      <c r="B8" s="55" t="s">
        <v>142</v>
      </c>
      <c r="C8" s="56" t="s">
        <v>126</v>
      </c>
      <c r="D8" s="55" t="s">
        <v>143</v>
      </c>
      <c r="E8" s="56" t="s">
        <v>126</v>
      </c>
      <c r="F8" s="55" t="s">
        <v>144</v>
      </c>
      <c r="G8" s="56" t="s">
        <v>128</v>
      </c>
      <c r="H8" s="55" t="s">
        <v>145</v>
      </c>
      <c r="I8" s="56" t="s">
        <v>128</v>
      </c>
      <c r="J8" s="54"/>
    </row>
    <row r="9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2.75"/>
    <col customWidth="1" min="3" max="5" width="10.88"/>
    <col customWidth="1" min="6" max="6" width="4.13"/>
    <col customWidth="1" min="7" max="7" width="22.75"/>
    <col customWidth="1" min="8" max="10" width="10.88"/>
    <col customWidth="1" min="11" max="11" width="4.13"/>
    <col customWidth="1" min="12" max="12" width="22.75"/>
    <col customWidth="1" min="13" max="15" width="10.88"/>
    <col customWidth="1" min="16" max="16" width="4.13"/>
  </cols>
  <sheetData>
    <row r="1" ht="15.7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ht="15.75" customHeight="1">
      <c r="A2" s="58"/>
      <c r="B2" s="59" t="s">
        <v>146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58"/>
    </row>
    <row r="3" ht="15.75" customHeight="1">
      <c r="A3" s="61"/>
      <c r="B3" s="62" t="s">
        <v>110</v>
      </c>
      <c r="C3" s="63"/>
      <c r="D3" s="63"/>
      <c r="E3" s="64"/>
      <c r="F3" s="61"/>
      <c r="G3" s="62" t="s">
        <v>112</v>
      </c>
      <c r="H3" s="63"/>
      <c r="I3" s="63"/>
      <c r="J3" s="64"/>
      <c r="K3" s="61"/>
      <c r="L3" s="62" t="s">
        <v>114</v>
      </c>
      <c r="M3" s="63"/>
      <c r="N3" s="63"/>
      <c r="O3" s="64"/>
      <c r="P3" s="61"/>
    </row>
    <row r="4" ht="15.75" customHeight="1">
      <c r="A4" s="65"/>
      <c r="B4" s="66" t="s">
        <v>80</v>
      </c>
      <c r="C4" s="67" t="s">
        <v>147</v>
      </c>
      <c r="D4" s="68" t="s">
        <v>148</v>
      </c>
      <c r="E4" s="69" t="s">
        <v>149</v>
      </c>
      <c r="F4" s="65"/>
      <c r="G4" s="66" t="s">
        <v>80</v>
      </c>
      <c r="H4" s="67" t="s">
        <v>147</v>
      </c>
      <c r="I4" s="68" t="s">
        <v>148</v>
      </c>
      <c r="J4" s="69" t="s">
        <v>149</v>
      </c>
      <c r="K4" s="65"/>
      <c r="L4" s="66" t="s">
        <v>80</v>
      </c>
      <c r="M4" s="67" t="s">
        <v>147</v>
      </c>
      <c r="N4" s="68" t="s">
        <v>148</v>
      </c>
      <c r="O4" s="69" t="s">
        <v>149</v>
      </c>
      <c r="P4" s="65"/>
    </row>
    <row r="5" ht="15.75" customHeight="1">
      <c r="A5" s="65"/>
      <c r="B5" s="70" t="s">
        <v>81</v>
      </c>
      <c r="C5" s="71"/>
      <c r="D5" s="72"/>
      <c r="E5" s="71"/>
      <c r="F5" s="65"/>
      <c r="G5" s="70" t="s">
        <v>81</v>
      </c>
      <c r="H5" s="71"/>
      <c r="I5" s="72"/>
      <c r="J5" s="71"/>
      <c r="K5" s="65"/>
      <c r="L5" s="70" t="s">
        <v>81</v>
      </c>
      <c r="M5" s="71"/>
      <c r="N5" s="72"/>
      <c r="O5" s="71"/>
      <c r="P5" s="65"/>
    </row>
    <row r="6" ht="15.75" customHeight="1">
      <c r="A6" s="65"/>
      <c r="B6" s="70" t="s">
        <v>54</v>
      </c>
      <c r="C6" s="73" t="s">
        <v>83</v>
      </c>
      <c r="D6" s="73" t="s">
        <v>83</v>
      </c>
      <c r="E6" s="73" t="s">
        <v>82</v>
      </c>
      <c r="F6" s="65"/>
      <c r="G6" s="70" t="s">
        <v>54</v>
      </c>
      <c r="H6" s="73" t="s">
        <v>82</v>
      </c>
      <c r="I6" s="73" t="s">
        <v>83</v>
      </c>
      <c r="J6" s="73" t="s">
        <v>84</v>
      </c>
      <c r="K6" s="65"/>
      <c r="L6" s="70" t="s">
        <v>54</v>
      </c>
      <c r="M6" s="73" t="s">
        <v>82</v>
      </c>
      <c r="N6" s="73" t="s">
        <v>83</v>
      </c>
      <c r="O6" s="73" t="s">
        <v>84</v>
      </c>
      <c r="P6" s="65"/>
    </row>
    <row r="7" ht="15.75" customHeight="1">
      <c r="A7" s="65"/>
      <c r="B7" s="73" t="s">
        <v>85</v>
      </c>
      <c r="C7" s="73" t="str">
        <f t="shared" ref="C7:E7" si="1">IF(C6="CLT","13,33",IF(C6="PJ","12",IF(C6="Estatutário","12",IF(C6="RSU","12","NULL"))))</f>
        <v>12</v>
      </c>
      <c r="D7" s="73" t="str">
        <f t="shared" si="1"/>
        <v>12</v>
      </c>
      <c r="E7" s="73" t="str">
        <f t="shared" si="1"/>
        <v>13,33</v>
      </c>
      <c r="F7" s="65"/>
      <c r="G7" s="73" t="s">
        <v>85</v>
      </c>
      <c r="H7" s="73" t="str">
        <f t="shared" ref="H7:J7" si="2">IF(H6="CLT","13,33",IF(H6="PJ","12",IF(H6="Estatutário","12",IF(H6="RSU","12","NULL"))))</f>
        <v>13,33</v>
      </c>
      <c r="I7" s="73" t="str">
        <f t="shared" si="2"/>
        <v>12</v>
      </c>
      <c r="J7" s="73" t="str">
        <f t="shared" si="2"/>
        <v>12</v>
      </c>
      <c r="K7" s="65"/>
      <c r="L7" s="73" t="s">
        <v>85</v>
      </c>
      <c r="M7" s="73" t="str">
        <f t="shared" ref="M7:O7" si="3">IF(M6="CLT","13,33",IF(M6="PJ","12",IF(M6="Estatutário","12",IF(M6="RSU","12","NULL"))))</f>
        <v>13,33</v>
      </c>
      <c r="N7" s="73" t="str">
        <f t="shared" si="3"/>
        <v>12</v>
      </c>
      <c r="O7" s="73" t="str">
        <f t="shared" si="3"/>
        <v>12</v>
      </c>
      <c r="P7" s="65"/>
    </row>
    <row r="8" ht="15.75" customHeight="1">
      <c r="A8" s="65"/>
      <c r="B8" s="74" t="s">
        <v>86</v>
      </c>
      <c r="C8" s="75"/>
      <c r="D8" s="75"/>
      <c r="E8" s="75"/>
      <c r="F8" s="65"/>
      <c r="G8" s="74" t="s">
        <v>86</v>
      </c>
      <c r="H8" s="75"/>
      <c r="I8" s="75"/>
      <c r="J8" s="75"/>
      <c r="K8" s="65"/>
      <c r="L8" s="74" t="s">
        <v>86</v>
      </c>
      <c r="M8" s="75"/>
      <c r="N8" s="75"/>
      <c r="O8" s="75"/>
      <c r="P8" s="65"/>
    </row>
    <row r="9" ht="15.75" customHeight="1">
      <c r="A9" s="65"/>
      <c r="B9" s="66" t="s">
        <v>87</v>
      </c>
      <c r="C9" s="76"/>
      <c r="D9" s="77"/>
      <c r="E9" s="77"/>
      <c r="F9" s="65"/>
      <c r="G9" s="66" t="s">
        <v>87</v>
      </c>
      <c r="H9" s="76"/>
      <c r="I9" s="77"/>
      <c r="J9" s="77"/>
      <c r="K9" s="65"/>
      <c r="L9" s="66" t="s">
        <v>87</v>
      </c>
      <c r="M9" s="76"/>
      <c r="N9" s="77"/>
      <c r="O9" s="77"/>
      <c r="P9" s="65"/>
    </row>
    <row r="10" ht="15.75" customHeight="1">
      <c r="A10" s="65"/>
      <c r="B10" s="70" t="s">
        <v>88</v>
      </c>
      <c r="C10" s="78">
        <f t="shared" ref="C10:E10" si="4">C5*C7</f>
        <v>0</v>
      </c>
      <c r="D10" s="78">
        <f t="shared" si="4"/>
        <v>0</v>
      </c>
      <c r="E10" s="78">
        <f t="shared" si="4"/>
        <v>0</v>
      </c>
      <c r="F10" s="65"/>
      <c r="G10" s="70" t="s">
        <v>88</v>
      </c>
      <c r="H10" s="78">
        <f t="shared" ref="H10:J10" si="5">H5*H7</f>
        <v>0</v>
      </c>
      <c r="I10" s="78">
        <f t="shared" si="5"/>
        <v>0</v>
      </c>
      <c r="J10" s="78">
        <f t="shared" si="5"/>
        <v>0</v>
      </c>
      <c r="K10" s="65"/>
      <c r="L10" s="70" t="s">
        <v>88</v>
      </c>
      <c r="M10" s="78">
        <f t="shared" ref="M10:O10" si="6">M5*M7</f>
        <v>0</v>
      </c>
      <c r="N10" s="78">
        <f t="shared" si="6"/>
        <v>0</v>
      </c>
      <c r="O10" s="78">
        <f t="shared" si="6"/>
        <v>0</v>
      </c>
      <c r="P10" s="65"/>
    </row>
    <row r="11" ht="15.75" customHeight="1">
      <c r="A11" s="65"/>
      <c r="B11" s="70" t="s">
        <v>89</v>
      </c>
      <c r="C11" s="78">
        <f t="shared" ref="C11:E11" si="7">C8*C5</f>
        <v>0</v>
      </c>
      <c r="D11" s="78">
        <f t="shared" si="7"/>
        <v>0</v>
      </c>
      <c r="E11" s="78">
        <f t="shared" si="7"/>
        <v>0</v>
      </c>
      <c r="F11" s="65"/>
      <c r="G11" s="70" t="s">
        <v>89</v>
      </c>
      <c r="H11" s="78">
        <f t="shared" ref="H11:J11" si="8">H8*H5</f>
        <v>0</v>
      </c>
      <c r="I11" s="78">
        <f t="shared" si="8"/>
        <v>0</v>
      </c>
      <c r="J11" s="78">
        <f t="shared" si="8"/>
        <v>0</v>
      </c>
      <c r="K11" s="65"/>
      <c r="L11" s="70" t="s">
        <v>89</v>
      </c>
      <c r="M11" s="78">
        <f t="shared" ref="M11:O11" si="9">M8*M5</f>
        <v>0</v>
      </c>
      <c r="N11" s="78">
        <f t="shared" si="9"/>
        <v>0</v>
      </c>
      <c r="O11" s="78">
        <f t="shared" si="9"/>
        <v>0</v>
      </c>
      <c r="P11" s="65"/>
    </row>
    <row r="12" ht="15.75" customHeight="1">
      <c r="A12" s="65"/>
      <c r="B12" s="70" t="s">
        <v>90</v>
      </c>
      <c r="C12" s="71"/>
      <c r="D12" s="72"/>
      <c r="E12" s="71"/>
      <c r="F12" s="65"/>
      <c r="G12" s="70" t="s">
        <v>90</v>
      </c>
      <c r="H12" s="71"/>
      <c r="I12" s="72"/>
      <c r="J12" s="71"/>
      <c r="K12" s="65"/>
      <c r="L12" s="70" t="s">
        <v>90</v>
      </c>
      <c r="M12" s="71"/>
      <c r="N12" s="72"/>
      <c r="O12" s="71"/>
      <c r="P12" s="65"/>
    </row>
    <row r="13" ht="15.75" customHeight="1">
      <c r="A13" s="65"/>
      <c r="B13" s="70" t="s">
        <v>91</v>
      </c>
      <c r="C13" s="71" t="str">
        <f t="shared" ref="C13:E13" si="10">IF(C6="CLT",C5*0.08*12,"")</f>
        <v/>
      </c>
      <c r="D13" s="71" t="str">
        <f t="shared" si="10"/>
        <v/>
      </c>
      <c r="E13" s="78">
        <f t="shared" si="10"/>
        <v>0</v>
      </c>
      <c r="F13" s="65"/>
      <c r="G13" s="70" t="s">
        <v>91</v>
      </c>
      <c r="H13" s="78">
        <f t="shared" ref="H13:J13" si="11">IF(H6="CLT",H5*0.08*12,"")</f>
        <v>0</v>
      </c>
      <c r="I13" s="71" t="str">
        <f t="shared" si="11"/>
        <v/>
      </c>
      <c r="J13" s="71" t="str">
        <f t="shared" si="11"/>
        <v/>
      </c>
      <c r="K13" s="65"/>
      <c r="L13" s="70" t="s">
        <v>91</v>
      </c>
      <c r="M13" s="78">
        <f t="shared" ref="M13:O13" si="12">IF(M6="CLT",M5*0.08*12,"")</f>
        <v>0</v>
      </c>
      <c r="N13" s="71" t="str">
        <f t="shared" si="12"/>
        <v/>
      </c>
      <c r="O13" s="71" t="str">
        <f t="shared" si="12"/>
        <v/>
      </c>
      <c r="P13" s="65"/>
    </row>
    <row r="14" ht="15.75" customHeight="1">
      <c r="A14" s="65"/>
      <c r="B14" s="70" t="s">
        <v>92</v>
      </c>
      <c r="C14" s="71"/>
      <c r="D14" s="72"/>
      <c r="E14" s="71"/>
      <c r="F14" s="65"/>
      <c r="G14" s="70" t="s">
        <v>92</v>
      </c>
      <c r="H14" s="71"/>
      <c r="I14" s="72"/>
      <c r="J14" s="71"/>
      <c r="K14" s="65"/>
      <c r="L14" s="70" t="s">
        <v>92</v>
      </c>
      <c r="M14" s="71"/>
      <c r="N14" s="72"/>
      <c r="O14" s="71"/>
      <c r="P14" s="65"/>
    </row>
    <row r="15" ht="15.75" customHeight="1">
      <c r="A15" s="65"/>
      <c r="B15" s="70" t="s">
        <v>93</v>
      </c>
      <c r="C15" s="71"/>
      <c r="D15" s="72"/>
      <c r="E15" s="71"/>
      <c r="F15" s="65"/>
      <c r="G15" s="70" t="s">
        <v>93</v>
      </c>
      <c r="H15" s="71"/>
      <c r="I15" s="72"/>
      <c r="J15" s="71"/>
      <c r="K15" s="65"/>
      <c r="L15" s="70" t="s">
        <v>93</v>
      </c>
      <c r="M15" s="71"/>
      <c r="N15" s="72"/>
      <c r="O15" s="71"/>
      <c r="P15" s="65"/>
    </row>
    <row r="16" ht="15.75" customHeight="1">
      <c r="A16" s="65"/>
      <c r="B16" s="70" t="s">
        <v>94</v>
      </c>
      <c r="C16" s="71"/>
      <c r="D16" s="72"/>
      <c r="E16" s="71"/>
      <c r="F16" s="65"/>
      <c r="G16" s="70" t="s">
        <v>94</v>
      </c>
      <c r="H16" s="71"/>
      <c r="I16" s="72"/>
      <c r="J16" s="71"/>
      <c r="K16" s="65"/>
      <c r="L16" s="70" t="s">
        <v>94</v>
      </c>
      <c r="M16" s="71"/>
      <c r="N16" s="72"/>
      <c r="O16" s="71"/>
      <c r="P16" s="65"/>
    </row>
    <row r="17" ht="15.75" customHeight="1">
      <c r="A17" s="65"/>
      <c r="B17" s="70" t="s">
        <v>95</v>
      </c>
      <c r="C17" s="71"/>
      <c r="D17" s="72"/>
      <c r="E17" s="78">
        <f>20*25*12</f>
        <v>6000</v>
      </c>
      <c r="F17" s="65"/>
      <c r="G17" s="70" t="s">
        <v>95</v>
      </c>
      <c r="H17" s="71"/>
      <c r="I17" s="72"/>
      <c r="J17" s="71"/>
      <c r="K17" s="65"/>
      <c r="L17" s="70" t="s">
        <v>95</v>
      </c>
      <c r="M17" s="71"/>
      <c r="N17" s="72"/>
      <c r="O17" s="71"/>
      <c r="P17" s="65"/>
    </row>
    <row r="18" ht="15.75" customHeight="1">
      <c r="A18" s="65"/>
      <c r="B18" s="70" t="s">
        <v>96</v>
      </c>
      <c r="C18" s="71"/>
      <c r="D18" s="72"/>
      <c r="E18" s="71"/>
      <c r="F18" s="65"/>
      <c r="G18" s="70" t="s">
        <v>96</v>
      </c>
      <c r="H18" s="71"/>
      <c r="I18" s="72"/>
      <c r="J18" s="71"/>
      <c r="K18" s="65"/>
      <c r="L18" s="70" t="s">
        <v>96</v>
      </c>
      <c r="M18" s="71"/>
      <c r="N18" s="72"/>
      <c r="O18" s="71"/>
      <c r="P18" s="65"/>
    </row>
    <row r="19" ht="15.75" customHeight="1">
      <c r="A19" s="65"/>
      <c r="B19" s="70" t="s">
        <v>97</v>
      </c>
      <c r="C19" s="71"/>
      <c r="D19" s="72"/>
      <c r="E19" s="71"/>
      <c r="F19" s="65"/>
      <c r="G19" s="70" t="s">
        <v>97</v>
      </c>
      <c r="H19" s="71"/>
      <c r="I19" s="72"/>
      <c r="J19" s="71"/>
      <c r="K19" s="65"/>
      <c r="L19" s="70" t="s">
        <v>97</v>
      </c>
      <c r="M19" s="71"/>
      <c r="N19" s="72"/>
      <c r="O19" s="71"/>
      <c r="P19" s="65"/>
    </row>
    <row r="20" ht="15.75" customHeight="1">
      <c r="A20" s="65"/>
      <c r="B20" s="70" t="s">
        <v>98</v>
      </c>
      <c r="C20" s="71"/>
      <c r="D20" s="72"/>
      <c r="E20" s="71"/>
      <c r="F20" s="65"/>
      <c r="G20" s="70" t="s">
        <v>98</v>
      </c>
      <c r="H20" s="71"/>
      <c r="I20" s="72"/>
      <c r="J20" s="71"/>
      <c r="K20" s="65"/>
      <c r="L20" s="70" t="s">
        <v>98</v>
      </c>
      <c r="M20" s="71"/>
      <c r="N20" s="72"/>
      <c r="O20" s="71"/>
      <c r="P20" s="65"/>
    </row>
    <row r="21" ht="15.75" customHeight="1">
      <c r="A21" s="65"/>
      <c r="B21" s="70" t="s">
        <v>99</v>
      </c>
      <c r="C21" s="71"/>
      <c r="D21" s="72"/>
      <c r="E21" s="71"/>
      <c r="F21" s="65"/>
      <c r="G21" s="70" t="s">
        <v>99</v>
      </c>
      <c r="H21" s="71"/>
      <c r="I21" s="72"/>
      <c r="J21" s="71"/>
      <c r="K21" s="65"/>
      <c r="L21" s="70" t="s">
        <v>99</v>
      </c>
      <c r="M21" s="71"/>
      <c r="N21" s="72"/>
      <c r="O21" s="71"/>
      <c r="P21" s="65"/>
    </row>
    <row r="22" ht="15.75" customHeight="1">
      <c r="A22" s="65"/>
      <c r="B22" s="70" t="s">
        <v>100</v>
      </c>
      <c r="C22" s="71"/>
      <c r="D22" s="72"/>
      <c r="E22" s="71"/>
      <c r="F22" s="65"/>
      <c r="G22" s="70" t="s">
        <v>100</v>
      </c>
      <c r="H22" s="71"/>
      <c r="I22" s="72"/>
      <c r="J22" s="71"/>
      <c r="K22" s="65"/>
      <c r="L22" s="70" t="s">
        <v>100</v>
      </c>
      <c r="M22" s="71"/>
      <c r="N22" s="72"/>
      <c r="O22" s="71"/>
      <c r="P22" s="65"/>
    </row>
    <row r="23" ht="15.75" customHeight="1">
      <c r="A23" s="65"/>
      <c r="B23" s="70" t="s">
        <v>101</v>
      </c>
      <c r="C23" s="79"/>
      <c r="D23" s="72"/>
      <c r="E23" s="71"/>
      <c r="F23" s="65"/>
      <c r="G23" s="70" t="s">
        <v>101</v>
      </c>
      <c r="H23" s="79"/>
      <c r="I23" s="72"/>
      <c r="J23" s="71"/>
      <c r="K23" s="65"/>
      <c r="L23" s="70" t="s">
        <v>101</v>
      </c>
      <c r="M23" s="79"/>
      <c r="N23" s="72"/>
      <c r="O23" s="71"/>
      <c r="P23" s="65"/>
    </row>
    <row r="24" ht="15.75" customHeight="1">
      <c r="A24" s="65"/>
      <c r="B24" s="70" t="s">
        <v>102</v>
      </c>
      <c r="C24" s="71"/>
      <c r="D24" s="72"/>
      <c r="E24" s="71"/>
      <c r="F24" s="65"/>
      <c r="G24" s="70" t="s">
        <v>102</v>
      </c>
      <c r="H24" s="71"/>
      <c r="I24" s="72"/>
      <c r="J24" s="71"/>
      <c r="K24" s="65"/>
      <c r="L24" s="70" t="s">
        <v>102</v>
      </c>
      <c r="M24" s="71"/>
      <c r="N24" s="72"/>
      <c r="O24" s="71"/>
      <c r="P24" s="65"/>
    </row>
    <row r="25" ht="15.75" customHeight="1">
      <c r="A25" s="80"/>
      <c r="B25" s="70" t="s">
        <v>103</v>
      </c>
      <c r="C25" s="81" t="str">
        <f t="shared" ref="C25:E25" si="13">IF(C6="CLT","27,5%",IF(C6="PJ","PREENCHER",IF(C6="Estatutário","27,5%",IF(C6="RSU","PREENCHER","0"))))</f>
        <v>PREENCHER</v>
      </c>
      <c r="D25" s="81" t="str">
        <f t="shared" si="13"/>
        <v>PREENCHER</v>
      </c>
      <c r="E25" s="81" t="str">
        <f t="shared" si="13"/>
        <v>27,5%</v>
      </c>
      <c r="F25" s="80"/>
      <c r="G25" s="70" t="s">
        <v>103</v>
      </c>
      <c r="H25" s="81" t="str">
        <f t="shared" ref="H25:J25" si="14">IF(H6="CLT","27,5%",IF(H6="PJ","PREENCHER",IF(H6="Estatutário","27,5%",IF(H6="RSU","PREENCHER","0"))))</f>
        <v>27,5%</v>
      </c>
      <c r="I25" s="81" t="str">
        <f t="shared" si="14"/>
        <v>PREENCHER</v>
      </c>
      <c r="J25" s="81" t="str">
        <f t="shared" si="14"/>
        <v>PREENCHER</v>
      </c>
      <c r="K25" s="80"/>
      <c r="L25" s="70" t="s">
        <v>103</v>
      </c>
      <c r="M25" s="81" t="str">
        <f t="shared" ref="M25:O25" si="15">IF(M6="CLT","27,5%",IF(M6="PJ","PREENCHER",IF(M6="Estatutário","27,5%",IF(M6="RSU","PREENCHER","0"))))</f>
        <v>27,5%</v>
      </c>
      <c r="N25" s="81" t="str">
        <f t="shared" si="15"/>
        <v>PREENCHER</v>
      </c>
      <c r="O25" s="81" t="str">
        <f t="shared" si="15"/>
        <v>PREENCHER</v>
      </c>
      <c r="P25" s="80"/>
    </row>
    <row r="26" ht="15.75" customHeight="1">
      <c r="A26" s="82"/>
      <c r="B26" s="83" t="s">
        <v>104</v>
      </c>
      <c r="C26" s="84">
        <f t="shared" ref="C26:E26" si="16">SUM(C10:C24)</f>
        <v>0</v>
      </c>
      <c r="D26" s="84">
        <f t="shared" si="16"/>
        <v>0</v>
      </c>
      <c r="E26" s="84">
        <f t="shared" si="16"/>
        <v>6000</v>
      </c>
      <c r="F26" s="82"/>
      <c r="G26" s="83" t="s">
        <v>104</v>
      </c>
      <c r="H26" s="84">
        <f t="shared" ref="H26:J26" si="17">SUM(H10:H24)</f>
        <v>0</v>
      </c>
      <c r="I26" s="84">
        <f t="shared" si="17"/>
        <v>0</v>
      </c>
      <c r="J26" s="84">
        <f t="shared" si="17"/>
        <v>0</v>
      </c>
      <c r="K26" s="82"/>
      <c r="L26" s="83" t="s">
        <v>104</v>
      </c>
      <c r="M26" s="84">
        <f t="shared" ref="M26:O26" si="18">SUM(M10:M24)</f>
        <v>0</v>
      </c>
      <c r="N26" s="84">
        <f t="shared" si="18"/>
        <v>0</v>
      </c>
      <c r="O26" s="84">
        <f t="shared" si="18"/>
        <v>0</v>
      </c>
      <c r="P26" s="82"/>
    </row>
    <row r="27" ht="15.75" customHeight="1">
      <c r="A27" s="82"/>
      <c r="B27" s="83" t="s">
        <v>105</v>
      </c>
      <c r="C27" s="85"/>
      <c r="D27" s="84">
        <f>D26-C26</f>
        <v>0</v>
      </c>
      <c r="E27" s="84">
        <f>E26-C26</f>
        <v>6000</v>
      </c>
      <c r="F27" s="82"/>
      <c r="G27" s="83" t="s">
        <v>105</v>
      </c>
      <c r="H27" s="85"/>
      <c r="I27" s="84">
        <f>I26-H26</f>
        <v>0</v>
      </c>
      <c r="J27" s="84">
        <f>J26-H26</f>
        <v>0</v>
      </c>
      <c r="K27" s="82"/>
      <c r="L27" s="83" t="s">
        <v>105</v>
      </c>
      <c r="M27" s="85"/>
      <c r="N27" s="84">
        <f>N26-M26</f>
        <v>0</v>
      </c>
      <c r="O27" s="84">
        <f>O26-M26</f>
        <v>0</v>
      </c>
      <c r="P27" s="82"/>
    </row>
    <row r="28" ht="15.75" customHeight="1">
      <c r="A28" s="82"/>
      <c r="B28" s="83" t="s">
        <v>106</v>
      </c>
      <c r="C28" s="85"/>
      <c r="D28" s="86" t="str">
        <f>D27/C26</f>
        <v>#DIV/0!</v>
      </c>
      <c r="E28" s="86" t="str">
        <f>E27/C26</f>
        <v>#DIV/0!</v>
      </c>
      <c r="F28" s="82"/>
      <c r="G28" s="83" t="s">
        <v>106</v>
      </c>
      <c r="H28" s="85"/>
      <c r="I28" s="86" t="str">
        <f>I27/H26</f>
        <v>#DIV/0!</v>
      </c>
      <c r="J28" s="86" t="str">
        <f>J27/H26</f>
        <v>#DIV/0!</v>
      </c>
      <c r="K28" s="82"/>
      <c r="L28" s="83" t="s">
        <v>106</v>
      </c>
      <c r="M28" s="85"/>
      <c r="N28" s="86" t="str">
        <f>N27/M26</f>
        <v>#DIV/0!</v>
      </c>
      <c r="O28" s="86" t="str">
        <f>O27/M26</f>
        <v>#DIV/0!</v>
      </c>
      <c r="P28" s="82"/>
    </row>
    <row r="29" ht="15.75" customHeight="1">
      <c r="A29" s="82"/>
      <c r="B29" s="87" t="s">
        <v>107</v>
      </c>
      <c r="C29" s="88" t="str">
        <f t="shared" ref="C29:E29" si="19">SUM(C10:C12)*(1-C25)+SUM(C13:C24)</f>
        <v>#VALUE!</v>
      </c>
      <c r="D29" s="88" t="str">
        <f t="shared" si="19"/>
        <v>#VALUE!</v>
      </c>
      <c r="E29" s="89">
        <f t="shared" si="19"/>
        <v>6000</v>
      </c>
      <c r="F29" s="82"/>
      <c r="G29" s="87" t="s">
        <v>107</v>
      </c>
      <c r="H29" s="89">
        <f t="shared" ref="H29:J29" si="20">SUM(H10:H12)*(1-H25)+SUM(H13:H24)</f>
        <v>0</v>
      </c>
      <c r="I29" s="88" t="str">
        <f t="shared" si="20"/>
        <v>#VALUE!</v>
      </c>
      <c r="J29" s="88" t="str">
        <f t="shared" si="20"/>
        <v>#VALUE!</v>
      </c>
      <c r="K29" s="82"/>
      <c r="L29" s="87" t="s">
        <v>107</v>
      </c>
      <c r="M29" s="89">
        <f t="shared" ref="M29:O29" si="21">SUM(M10:M12)*(1-M25)+SUM(M13:M24)</f>
        <v>0</v>
      </c>
      <c r="N29" s="88" t="str">
        <f t="shared" si="21"/>
        <v>#VALUE!</v>
      </c>
      <c r="O29" s="88" t="str">
        <f t="shared" si="21"/>
        <v>#VALUE!</v>
      </c>
      <c r="P29" s="82"/>
    </row>
    <row r="30" ht="15.75" customHeight="1">
      <c r="A30" s="82"/>
      <c r="B30" s="87" t="s">
        <v>108</v>
      </c>
      <c r="C30" s="90"/>
      <c r="D30" s="91" t="str">
        <f>D29-C29</f>
        <v>#VALUE!</v>
      </c>
      <c r="E30" s="91" t="str">
        <f>E29-C29</f>
        <v>#VALUE!</v>
      </c>
      <c r="F30" s="82"/>
      <c r="G30" s="87" t="s">
        <v>108</v>
      </c>
      <c r="H30" s="90"/>
      <c r="I30" s="91" t="str">
        <f>I29-H29</f>
        <v>#VALUE!</v>
      </c>
      <c r="J30" s="91" t="str">
        <f>J29-H29</f>
        <v>#VALUE!</v>
      </c>
      <c r="K30" s="82"/>
      <c r="L30" s="87" t="s">
        <v>108</v>
      </c>
      <c r="M30" s="90"/>
      <c r="N30" s="91" t="str">
        <f>N29-M29</f>
        <v>#VALUE!</v>
      </c>
      <c r="O30" s="91" t="str">
        <f>O29-M29</f>
        <v>#VALUE!</v>
      </c>
      <c r="P30" s="82"/>
    </row>
    <row r="31" ht="15.75" customHeight="1">
      <c r="A31" s="82"/>
      <c r="B31" s="87" t="s">
        <v>109</v>
      </c>
      <c r="C31" s="90"/>
      <c r="D31" s="86" t="str">
        <f>D30/C29</f>
        <v>#VALUE!</v>
      </c>
      <c r="E31" s="86" t="str">
        <f>E30/C29</f>
        <v>#VALUE!</v>
      </c>
      <c r="F31" s="82"/>
      <c r="G31" s="87" t="s">
        <v>109</v>
      </c>
      <c r="H31" s="90"/>
      <c r="I31" s="86" t="str">
        <f>I30/H29</f>
        <v>#VALUE!</v>
      </c>
      <c r="J31" s="86" t="str">
        <f>J30/H29</f>
        <v>#VALUE!</v>
      </c>
      <c r="K31" s="82"/>
      <c r="L31" s="87" t="s">
        <v>109</v>
      </c>
      <c r="M31" s="90"/>
      <c r="N31" s="86" t="str">
        <f>N30/M29</f>
        <v>#VALUE!</v>
      </c>
      <c r="O31" s="86" t="str">
        <f>O30/M29</f>
        <v>#VALUE!</v>
      </c>
      <c r="P31" s="82"/>
    </row>
    <row r="32" ht="15.75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</row>
    <row r="33" ht="15.75" customHeight="1">
      <c r="A33" s="65"/>
      <c r="B33" s="66" t="s">
        <v>150</v>
      </c>
      <c r="C33" s="66" t="s">
        <v>151</v>
      </c>
      <c r="D33" s="66" t="s">
        <v>152</v>
      </c>
      <c r="E33" s="65"/>
      <c r="F33" s="65"/>
      <c r="G33" s="66" t="s">
        <v>150</v>
      </c>
      <c r="H33" s="66" t="s">
        <v>151</v>
      </c>
      <c r="I33" s="66" t="s">
        <v>152</v>
      </c>
      <c r="J33" s="65"/>
      <c r="K33" s="65"/>
      <c r="L33" s="66" t="s">
        <v>150</v>
      </c>
      <c r="M33" s="66" t="s">
        <v>151</v>
      </c>
      <c r="N33" s="66" t="s">
        <v>152</v>
      </c>
      <c r="O33" s="65"/>
      <c r="P33" s="65"/>
    </row>
    <row r="34" ht="15.75" customHeight="1">
      <c r="A34" s="65"/>
      <c r="B34" s="70" t="s">
        <v>153</v>
      </c>
      <c r="C34" s="92">
        <v>0.0</v>
      </c>
      <c r="D34" s="93"/>
      <c r="E34" s="65"/>
      <c r="F34" s="65"/>
      <c r="G34" s="70" t="s">
        <v>153</v>
      </c>
      <c r="H34" s="92">
        <v>0.0</v>
      </c>
      <c r="I34" s="93"/>
      <c r="J34" s="65"/>
      <c r="K34" s="65"/>
      <c r="L34" s="70" t="s">
        <v>153</v>
      </c>
      <c r="M34" s="92">
        <v>0.0</v>
      </c>
      <c r="N34" s="93"/>
      <c r="O34" s="65"/>
      <c r="P34" s="65"/>
    </row>
    <row r="35" ht="15.75" customHeight="1">
      <c r="A35" s="65"/>
      <c r="B35" s="70" t="s">
        <v>154</v>
      </c>
      <c r="C35" s="92">
        <v>0.0</v>
      </c>
      <c r="D35" s="93"/>
      <c r="E35" s="65"/>
      <c r="F35" s="65"/>
      <c r="G35" s="70" t="s">
        <v>154</v>
      </c>
      <c r="H35" s="92">
        <v>0.0</v>
      </c>
      <c r="I35" s="93"/>
      <c r="J35" s="65"/>
      <c r="K35" s="65"/>
      <c r="L35" s="70" t="s">
        <v>154</v>
      </c>
      <c r="M35" s="92">
        <v>0.0</v>
      </c>
      <c r="N35" s="93"/>
      <c r="O35" s="65"/>
      <c r="P35" s="65"/>
    </row>
    <row r="36" ht="15.75" customHeight="1">
      <c r="A36" s="65"/>
      <c r="B36" s="70" t="s">
        <v>155</v>
      </c>
      <c r="C36" s="92">
        <v>0.0</v>
      </c>
      <c r="D36" s="93"/>
      <c r="E36" s="65"/>
      <c r="F36" s="65"/>
      <c r="G36" s="70" t="s">
        <v>155</v>
      </c>
      <c r="H36" s="92">
        <v>0.0</v>
      </c>
      <c r="I36" s="93"/>
      <c r="J36" s="65"/>
      <c r="K36" s="65"/>
      <c r="L36" s="70" t="s">
        <v>155</v>
      </c>
      <c r="M36" s="92">
        <v>0.0</v>
      </c>
      <c r="N36" s="93"/>
      <c r="O36" s="65"/>
      <c r="P36" s="65"/>
    </row>
    <row r="37" ht="15.75" customHeight="1">
      <c r="A37" s="65"/>
      <c r="B37" s="70" t="s">
        <v>156</v>
      </c>
      <c r="C37" s="92">
        <v>0.0</v>
      </c>
      <c r="D37" s="93"/>
      <c r="E37" s="65"/>
      <c r="F37" s="65"/>
      <c r="G37" s="70" t="s">
        <v>156</v>
      </c>
      <c r="H37" s="92">
        <v>0.0</v>
      </c>
      <c r="I37" s="93"/>
      <c r="J37" s="65"/>
      <c r="K37" s="65"/>
      <c r="L37" s="70" t="s">
        <v>156</v>
      </c>
      <c r="M37" s="92">
        <v>0.0</v>
      </c>
      <c r="N37" s="93"/>
      <c r="O37" s="65"/>
      <c r="P37" s="65"/>
    </row>
    <row r="38" ht="15.75" customHeight="1">
      <c r="A38" s="65"/>
      <c r="B38" s="70" t="s">
        <v>157</v>
      </c>
      <c r="C38" s="92">
        <v>0.0</v>
      </c>
      <c r="D38" s="93"/>
      <c r="E38" s="65"/>
      <c r="F38" s="65"/>
      <c r="G38" s="70" t="s">
        <v>157</v>
      </c>
      <c r="H38" s="92">
        <v>0.0</v>
      </c>
      <c r="I38" s="93"/>
      <c r="J38" s="65"/>
      <c r="K38" s="65"/>
      <c r="L38" s="70" t="s">
        <v>157</v>
      </c>
      <c r="M38" s="92">
        <v>0.0</v>
      </c>
      <c r="N38" s="93"/>
      <c r="O38" s="65"/>
      <c r="P38" s="65"/>
    </row>
    <row r="39" ht="15.75" customHeight="1">
      <c r="A39" s="65"/>
      <c r="B39" s="70" t="s">
        <v>158</v>
      </c>
      <c r="C39" s="92">
        <v>0.0</v>
      </c>
      <c r="D39" s="93"/>
      <c r="E39" s="65"/>
      <c r="F39" s="65"/>
      <c r="G39" s="70" t="s">
        <v>158</v>
      </c>
      <c r="H39" s="92">
        <v>0.0</v>
      </c>
      <c r="I39" s="93"/>
      <c r="J39" s="65"/>
      <c r="K39" s="65"/>
      <c r="L39" s="70" t="s">
        <v>158</v>
      </c>
      <c r="M39" s="92">
        <v>0.0</v>
      </c>
      <c r="N39" s="93"/>
      <c r="O39" s="65"/>
      <c r="P39" s="65"/>
    </row>
    <row r="40" ht="15.75" customHeight="1">
      <c r="A40" s="65"/>
      <c r="B40" s="94" t="s">
        <v>159</v>
      </c>
      <c r="C40" s="95">
        <f>AVERAGE(C34:C39)</f>
        <v>0</v>
      </c>
      <c r="D40" s="65"/>
      <c r="E40" s="65"/>
      <c r="F40" s="65"/>
      <c r="G40" s="94" t="s">
        <v>159</v>
      </c>
      <c r="H40" s="95">
        <f>AVERAGE(H34:H39)</f>
        <v>0</v>
      </c>
      <c r="I40" s="65"/>
      <c r="J40" s="65"/>
      <c r="K40" s="65"/>
      <c r="L40" s="94" t="s">
        <v>159</v>
      </c>
      <c r="M40" s="95">
        <f>AVERAGE(M34:M39)</f>
        <v>0</v>
      </c>
      <c r="N40" s="65"/>
      <c r="O40" s="65"/>
      <c r="P40" s="65"/>
    </row>
    <row r="41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</row>
    <row r="42" ht="15.75" hidden="1" customHeight="1">
      <c r="A42" s="65"/>
      <c r="B42" s="96" t="s">
        <v>14</v>
      </c>
      <c r="C42" s="96" t="s">
        <v>160</v>
      </c>
      <c r="D42" s="96" t="s">
        <v>161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 ht="15.75" hidden="1" customHeight="1">
      <c r="A43" s="65"/>
      <c r="B43" s="96" t="str">
        <f>B3</f>
        <v>Nome Candidato 1</v>
      </c>
      <c r="C43" s="97">
        <f>C26</f>
        <v>0</v>
      </c>
      <c r="D43" s="98">
        <f>C40</f>
        <v>0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</row>
    <row r="44" ht="15.75" hidden="1" customHeight="1">
      <c r="A44" s="65"/>
      <c r="B44" s="96" t="str">
        <f>G3</f>
        <v>Nome Candidato 2</v>
      </c>
      <c r="C44" s="97">
        <f>H26</f>
        <v>0</v>
      </c>
      <c r="D44" s="98">
        <f>H40</f>
        <v>0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</row>
    <row r="45" ht="15.75" hidden="1" customHeight="1">
      <c r="A45" s="65"/>
      <c r="B45" s="96" t="str">
        <f>L3</f>
        <v>Nome Candidato 3</v>
      </c>
      <c r="C45" s="97">
        <f>M26</f>
        <v>0</v>
      </c>
      <c r="D45" s="98">
        <f>M40</f>
        <v>0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</row>
    <row r="46" ht="15.75" hidden="1" customHeight="1">
      <c r="A46" s="65"/>
      <c r="B46" s="96" t="s">
        <v>162</v>
      </c>
      <c r="C46" s="97">
        <f>E26</f>
        <v>6000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 ht="15.75" hidden="1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O2"/>
    <mergeCell ref="B3:E3"/>
    <mergeCell ref="G3:J3"/>
    <mergeCell ref="L3:O3"/>
  </mergeCells>
  <dataValidations>
    <dataValidation type="list" allowBlank="1" showErrorMessage="1" sqref="C6:E6 H6:J6 M6:O6">
      <formula1>"PJ,CLT,Estatutário,RSU"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20.63"/>
    <col customWidth="1" min="3" max="7" width="17.75"/>
    <col customWidth="1" min="8" max="8" width="22.13"/>
    <col customWidth="1" min="9" max="9" width="5.88"/>
  </cols>
  <sheetData>
    <row r="1" ht="15.75" customHeight="1">
      <c r="A1" s="19"/>
      <c r="B1" s="99" t="s">
        <v>163</v>
      </c>
      <c r="C1" s="100" t="s">
        <v>164</v>
      </c>
      <c r="D1" s="23"/>
      <c r="E1" s="23"/>
      <c r="F1" s="23"/>
      <c r="G1" s="23"/>
      <c r="H1" s="23"/>
      <c r="I1" s="21"/>
    </row>
    <row r="2" ht="15.75" customHeight="1">
      <c r="A2" s="19"/>
      <c r="B2" s="101" t="s">
        <v>165</v>
      </c>
      <c r="C2" s="23"/>
      <c r="D2" s="23"/>
      <c r="E2" s="23"/>
      <c r="F2" s="23"/>
      <c r="G2" s="23"/>
      <c r="H2" s="23"/>
      <c r="I2" s="21"/>
    </row>
    <row r="3" ht="15.75" customHeight="1">
      <c r="A3" s="19"/>
      <c r="B3" s="101"/>
      <c r="C3" s="23"/>
      <c r="D3" s="23"/>
      <c r="E3" s="23"/>
      <c r="F3" s="23"/>
      <c r="G3" s="23"/>
      <c r="H3" s="23"/>
      <c r="I3" s="21"/>
    </row>
    <row r="4" ht="15.75" customHeight="1">
      <c r="A4" s="19"/>
      <c r="B4" s="101"/>
      <c r="C4" s="23"/>
      <c r="D4" s="23"/>
      <c r="E4" s="23"/>
      <c r="F4" s="23"/>
      <c r="G4" s="23"/>
      <c r="H4" s="23"/>
      <c r="I4" s="21"/>
    </row>
    <row r="5" ht="15.75" customHeight="1">
      <c r="A5" s="19"/>
      <c r="B5" s="101"/>
      <c r="C5" s="23"/>
      <c r="D5" s="23"/>
      <c r="E5" s="23"/>
      <c r="F5" s="23"/>
      <c r="G5" s="23"/>
      <c r="H5" s="23"/>
      <c r="I5" s="21"/>
    </row>
    <row r="6" ht="15.75" customHeight="1">
      <c r="A6" s="19"/>
      <c r="B6" s="101"/>
      <c r="C6" s="23"/>
      <c r="D6" s="23"/>
      <c r="E6" s="23"/>
      <c r="F6" s="23"/>
      <c r="G6" s="23"/>
      <c r="H6" s="23"/>
      <c r="I6" s="21"/>
    </row>
    <row r="7" ht="15.75" customHeight="1">
      <c r="A7" s="19"/>
      <c r="B7" s="101"/>
      <c r="C7" s="23"/>
      <c r="D7" s="23"/>
      <c r="E7" s="23"/>
      <c r="F7" s="23"/>
      <c r="G7" s="23"/>
      <c r="H7" s="23"/>
      <c r="I7" s="21"/>
    </row>
    <row r="8" ht="15.75" customHeight="1">
      <c r="A8" s="19"/>
      <c r="B8" s="101"/>
      <c r="C8" s="23"/>
      <c r="D8" s="23"/>
      <c r="E8" s="23"/>
      <c r="F8" s="23"/>
      <c r="G8" s="23"/>
      <c r="H8" s="23"/>
      <c r="I8" s="21"/>
    </row>
    <row r="9" ht="15.75" customHeight="1">
      <c r="A9" s="19"/>
      <c r="B9" s="101"/>
      <c r="C9" s="23"/>
      <c r="D9" s="23"/>
      <c r="E9" s="23"/>
      <c r="F9" s="23"/>
      <c r="G9" s="23"/>
      <c r="H9" s="23"/>
      <c r="I9" s="21"/>
    </row>
    <row r="10" ht="15.75" customHeight="1">
      <c r="A10" s="19"/>
      <c r="B10" s="101"/>
      <c r="C10" s="23"/>
      <c r="D10" s="23"/>
      <c r="E10" s="23"/>
      <c r="F10" s="23"/>
      <c r="G10" s="23"/>
      <c r="H10" s="23"/>
      <c r="I10" s="21"/>
    </row>
    <row r="11" ht="15.75" customHeight="1">
      <c r="A11" s="16"/>
      <c r="B11" s="101"/>
      <c r="C11" s="23"/>
      <c r="D11" s="23"/>
      <c r="E11" s="23"/>
      <c r="F11" s="23"/>
      <c r="G11" s="23"/>
      <c r="H11" s="23"/>
      <c r="I11" s="21"/>
    </row>
    <row r="12" ht="15.75" customHeight="1">
      <c r="A12" s="16"/>
      <c r="B12" s="24"/>
      <c r="C12" s="24"/>
      <c r="D12" s="25"/>
      <c r="E12" s="25"/>
      <c r="F12" s="25"/>
      <c r="G12" s="25"/>
      <c r="H12" s="25"/>
      <c r="I12" s="2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57" width="20.75"/>
  </cols>
  <sheetData>
    <row r="1" ht="15.75" customHeight="1">
      <c r="A1" s="102" t="s">
        <v>166</v>
      </c>
      <c r="B1" s="102" t="s">
        <v>167</v>
      </c>
      <c r="C1" s="102" t="s">
        <v>168</v>
      </c>
      <c r="D1" s="102" t="s">
        <v>169</v>
      </c>
      <c r="E1" s="102" t="s">
        <v>170</v>
      </c>
      <c r="F1" s="102" t="s">
        <v>171</v>
      </c>
      <c r="G1" s="102" t="s">
        <v>172</v>
      </c>
      <c r="H1" s="102" t="s">
        <v>173</v>
      </c>
      <c r="I1" s="102" t="s">
        <v>174</v>
      </c>
      <c r="J1" s="102" t="s">
        <v>17</v>
      </c>
      <c r="K1" s="102" t="s">
        <v>175</v>
      </c>
      <c r="L1" s="102" t="s">
        <v>176</v>
      </c>
      <c r="M1" s="102" t="s">
        <v>177</v>
      </c>
      <c r="N1" s="102" t="s">
        <v>178</v>
      </c>
      <c r="O1" s="102" t="s">
        <v>179</v>
      </c>
      <c r="P1" s="102" t="s">
        <v>180</v>
      </c>
      <c r="Q1" s="102" t="s">
        <v>181</v>
      </c>
      <c r="R1" s="102" t="s">
        <v>182</v>
      </c>
      <c r="S1" s="102" t="s">
        <v>183</v>
      </c>
      <c r="T1" s="103" t="s">
        <v>184</v>
      </c>
      <c r="U1" s="103" t="s">
        <v>111</v>
      </c>
      <c r="V1" s="103" t="s">
        <v>185</v>
      </c>
      <c r="W1" s="103" t="s">
        <v>186</v>
      </c>
      <c r="X1" s="103" t="s">
        <v>187</v>
      </c>
      <c r="Y1" s="103" t="s">
        <v>188</v>
      </c>
      <c r="Z1" s="103" t="s">
        <v>189</v>
      </c>
      <c r="AA1" s="103" t="s">
        <v>190</v>
      </c>
      <c r="AB1" s="103" t="s">
        <v>191</v>
      </c>
      <c r="AC1" s="103" t="s">
        <v>192</v>
      </c>
      <c r="AD1" s="103" t="s">
        <v>193</v>
      </c>
      <c r="AE1" s="103" t="s">
        <v>194</v>
      </c>
      <c r="AF1" s="103" t="s">
        <v>113</v>
      </c>
      <c r="AG1" s="103" t="s">
        <v>195</v>
      </c>
      <c r="AH1" s="103" t="s">
        <v>196</v>
      </c>
      <c r="AI1" s="103" t="s">
        <v>197</v>
      </c>
      <c r="AJ1" s="103" t="s">
        <v>198</v>
      </c>
      <c r="AK1" s="103" t="s">
        <v>199</v>
      </c>
      <c r="AL1" s="103" t="s">
        <v>200</v>
      </c>
      <c r="AM1" s="103" t="s">
        <v>201</v>
      </c>
      <c r="AN1" s="103" t="s">
        <v>202</v>
      </c>
      <c r="AO1" s="103" t="s">
        <v>203</v>
      </c>
      <c r="AP1" s="103" t="s">
        <v>204</v>
      </c>
      <c r="AQ1" s="103" t="s">
        <v>115</v>
      </c>
      <c r="AR1" s="103" t="s">
        <v>205</v>
      </c>
      <c r="AS1" s="103" t="s">
        <v>206</v>
      </c>
      <c r="AT1" s="103" t="s">
        <v>207</v>
      </c>
      <c r="AU1" s="103" t="s">
        <v>208</v>
      </c>
      <c r="AV1" s="103" t="s">
        <v>209</v>
      </c>
      <c r="AW1" s="103" t="s">
        <v>210</v>
      </c>
      <c r="AX1" s="103" t="s">
        <v>211</v>
      </c>
      <c r="AY1" s="103" t="s">
        <v>212</v>
      </c>
      <c r="AZ1" s="103" t="s">
        <v>213</v>
      </c>
      <c r="BA1" s="103" t="s">
        <v>214</v>
      </c>
      <c r="BB1" s="103" t="s">
        <v>117</v>
      </c>
      <c r="BC1" s="103" t="s">
        <v>215</v>
      </c>
      <c r="BD1" s="103" t="s">
        <v>216</v>
      </c>
      <c r="BE1" s="103" t="s">
        <v>217</v>
      </c>
      <c r="BF1" s="103" t="s">
        <v>218</v>
      </c>
      <c r="BG1" s="103" t="s">
        <v>219</v>
      </c>
      <c r="BH1" s="103" t="s">
        <v>220</v>
      </c>
      <c r="BI1" s="103" t="s">
        <v>221</v>
      </c>
      <c r="BJ1" s="103" t="s">
        <v>222</v>
      </c>
      <c r="BK1" s="103" t="s">
        <v>223</v>
      </c>
      <c r="BL1" s="103" t="s">
        <v>224</v>
      </c>
      <c r="BM1" s="103" t="s">
        <v>225</v>
      </c>
      <c r="BN1" s="103" t="s">
        <v>226</v>
      </c>
      <c r="BO1" s="103" t="s">
        <v>227</v>
      </c>
      <c r="BP1" s="103" t="s">
        <v>228</v>
      </c>
      <c r="BQ1" s="103" t="s">
        <v>229</v>
      </c>
      <c r="BR1" s="103" t="s">
        <v>230</v>
      </c>
      <c r="BS1" s="103" t="s">
        <v>231</v>
      </c>
      <c r="BT1" s="103" t="s">
        <v>232</v>
      </c>
      <c r="BU1" s="103" t="s">
        <v>233</v>
      </c>
      <c r="BV1" s="103" t="s">
        <v>234</v>
      </c>
      <c r="BW1" s="103" t="s">
        <v>235</v>
      </c>
      <c r="BX1" s="103" t="s">
        <v>236</v>
      </c>
      <c r="BY1" s="103" t="s">
        <v>237</v>
      </c>
      <c r="BZ1" s="103" t="s">
        <v>238</v>
      </c>
      <c r="CA1" s="103" t="s">
        <v>239</v>
      </c>
      <c r="CB1" s="103" t="s">
        <v>240</v>
      </c>
      <c r="CC1" s="103" t="s">
        <v>241</v>
      </c>
      <c r="CD1" s="103" t="s">
        <v>242</v>
      </c>
      <c r="CE1" s="103" t="s">
        <v>243</v>
      </c>
      <c r="CF1" s="103" t="s">
        <v>244</v>
      </c>
      <c r="CG1" s="103" t="s">
        <v>245</v>
      </c>
      <c r="CH1" s="103" t="s">
        <v>246</v>
      </c>
      <c r="CI1" s="103" t="s">
        <v>247</v>
      </c>
      <c r="CJ1" s="103" t="s">
        <v>248</v>
      </c>
      <c r="CK1" s="103" t="s">
        <v>249</v>
      </c>
      <c r="CL1" s="103" t="s">
        <v>250</v>
      </c>
      <c r="CM1" s="103" t="s">
        <v>251</v>
      </c>
      <c r="CN1" s="103" t="s">
        <v>252</v>
      </c>
      <c r="CO1" s="103" t="s">
        <v>253</v>
      </c>
      <c r="CP1" s="103" t="s">
        <v>254</v>
      </c>
      <c r="CQ1" s="103" t="s">
        <v>255</v>
      </c>
      <c r="CR1" s="103" t="s">
        <v>256</v>
      </c>
      <c r="CS1" s="103" t="s">
        <v>257</v>
      </c>
      <c r="CT1" s="103" t="s">
        <v>258</v>
      </c>
      <c r="CU1" s="103" t="s">
        <v>259</v>
      </c>
      <c r="CV1" s="103" t="s">
        <v>260</v>
      </c>
      <c r="CW1" s="103" t="s">
        <v>261</v>
      </c>
      <c r="CX1" s="103" t="s">
        <v>262</v>
      </c>
      <c r="CY1" s="103" t="s">
        <v>263</v>
      </c>
      <c r="CZ1" s="103" t="s">
        <v>264</v>
      </c>
      <c r="DA1" s="103" t="s">
        <v>265</v>
      </c>
      <c r="DB1" s="103" t="s">
        <v>266</v>
      </c>
      <c r="DC1" s="103" t="s">
        <v>267</v>
      </c>
      <c r="DD1" s="103" t="s">
        <v>268</v>
      </c>
      <c r="DE1" s="103" t="s">
        <v>269</v>
      </c>
      <c r="DF1" s="103" t="s">
        <v>270</v>
      </c>
      <c r="DG1" s="103" t="s">
        <v>271</v>
      </c>
      <c r="DH1" s="103" t="s">
        <v>272</v>
      </c>
      <c r="DI1" s="103" t="s">
        <v>273</v>
      </c>
      <c r="DJ1" s="103" t="s">
        <v>274</v>
      </c>
      <c r="DK1" s="103" t="s">
        <v>275</v>
      </c>
      <c r="DL1" s="103" t="s">
        <v>276</v>
      </c>
      <c r="DM1" s="103" t="s">
        <v>277</v>
      </c>
      <c r="DN1" s="103" t="s">
        <v>278</v>
      </c>
      <c r="DO1" s="103" t="s">
        <v>279</v>
      </c>
      <c r="DP1" s="103" t="s">
        <v>280</v>
      </c>
      <c r="DQ1" s="103" t="s">
        <v>281</v>
      </c>
      <c r="DR1" s="103" t="s">
        <v>282</v>
      </c>
      <c r="DS1" s="103" t="s">
        <v>283</v>
      </c>
      <c r="DT1" s="103" t="s">
        <v>284</v>
      </c>
      <c r="DU1" s="103" t="s">
        <v>285</v>
      </c>
      <c r="DV1" s="103" t="s">
        <v>286</v>
      </c>
      <c r="DW1" s="103" t="s">
        <v>287</v>
      </c>
      <c r="DX1" s="103" t="s">
        <v>288</v>
      </c>
      <c r="DY1" s="103" t="s">
        <v>289</v>
      </c>
      <c r="DZ1" s="104" t="s">
        <v>110</v>
      </c>
      <c r="EA1" s="104" t="s">
        <v>118</v>
      </c>
      <c r="EB1" s="104" t="s">
        <v>123</v>
      </c>
      <c r="EC1" s="104" t="s">
        <v>130</v>
      </c>
      <c r="ED1" s="104" t="s">
        <v>134</v>
      </c>
      <c r="EE1" s="104" t="s">
        <v>138</v>
      </c>
      <c r="EF1" s="104" t="s">
        <v>142</v>
      </c>
      <c r="EG1" s="104" t="s">
        <v>112</v>
      </c>
      <c r="EH1" s="104" t="s">
        <v>120</v>
      </c>
      <c r="EI1" s="104" t="s">
        <v>125</v>
      </c>
      <c r="EJ1" s="104" t="s">
        <v>131</v>
      </c>
      <c r="EK1" s="104" t="s">
        <v>135</v>
      </c>
      <c r="EL1" s="104" t="s">
        <v>139</v>
      </c>
      <c r="EM1" s="104" t="s">
        <v>143</v>
      </c>
      <c r="EN1" s="104" t="s">
        <v>114</v>
      </c>
      <c r="EO1" s="104" t="s">
        <v>121</v>
      </c>
      <c r="EP1" s="104" t="s">
        <v>127</v>
      </c>
      <c r="EQ1" s="104" t="s">
        <v>132</v>
      </c>
      <c r="ER1" s="104" t="s">
        <v>136</v>
      </c>
      <c r="ES1" s="104" t="s">
        <v>140</v>
      </c>
      <c r="ET1" s="104" t="s">
        <v>144</v>
      </c>
      <c r="EU1" s="104" t="s">
        <v>116</v>
      </c>
      <c r="EV1" s="104" t="s">
        <v>122</v>
      </c>
      <c r="EW1" s="104" t="s">
        <v>129</v>
      </c>
      <c r="EX1" s="104" t="s">
        <v>133</v>
      </c>
      <c r="EY1" s="104" t="s">
        <v>137</v>
      </c>
      <c r="EZ1" s="104" t="s">
        <v>141</v>
      </c>
      <c r="FA1" s="104" t="s">
        <v>145</v>
      </c>
    </row>
    <row r="2" ht="343.5" customHeight="1">
      <c r="A2" s="105" t="str">
        <f>Alinhamento!C2</f>
        <v>NOME EMPRESA</v>
      </c>
      <c r="B2" s="105" t="str">
        <f>Alinhamento!D2</f>
        <v>POSIÇÃO</v>
      </c>
      <c r="C2" s="42" t="str">
        <f>Alinhamento!D3</f>
        <v/>
      </c>
      <c r="D2" s="42" t="str">
        <f>Alinhamento!D4</f>
        <v/>
      </c>
      <c r="E2" s="42" t="str">
        <f>Alinhamento!D5</f>
        <v/>
      </c>
      <c r="F2" s="42" t="str">
        <f>Alinhamento!D6</f>
        <v/>
      </c>
      <c r="G2" s="42" t="str">
        <f>Alinhamento!D7</f>
        <v/>
      </c>
      <c r="H2" s="42" t="str">
        <f>Alinhamento!D8</f>
        <v/>
      </c>
      <c r="I2" s="42" t="str">
        <f>Alinhamento!D9</f>
        <v/>
      </c>
      <c r="J2" s="42" t="str">
        <f>Alinhamento!D10</f>
        <v/>
      </c>
      <c r="K2" s="42" t="str">
        <f>Alinhamento!D11</f>
        <v/>
      </c>
      <c r="L2" s="42" t="str">
        <f>Alinhamento!D12</f>
        <v/>
      </c>
      <c r="M2" s="42" t="str">
        <f>Alinhamento!D13</f>
        <v/>
      </c>
      <c r="N2" s="42" t="str">
        <f>Alinhamento!D14</f>
        <v/>
      </c>
      <c r="O2" s="42" t="str">
        <f>Alinhamento!D15</f>
        <v/>
      </c>
      <c r="P2" s="42" t="str">
        <f>Alinhamento!D16</f>
        <v/>
      </c>
      <c r="Q2" s="42" t="str">
        <f>Alinhamento!D17</f>
        <v/>
      </c>
      <c r="R2" s="42" t="str">
        <f>Alinhamento!D18</f>
        <v/>
      </c>
      <c r="S2" s="42" t="str">
        <f>Alinhamento!D19</f>
        <v/>
      </c>
      <c r="T2" s="42" t="str">
        <f>Shortlist!B3</f>
        <v>Candidato 1</v>
      </c>
      <c r="U2" s="42" t="str">
        <f>Shortlist!C3</f>
        <v>Paulo Ricardo Dauinheimer Machado</v>
      </c>
      <c r="V2" s="42" t="str">
        <f>Shortlist!D3</f>
        <v>N/A</v>
      </c>
      <c r="W2" s="42" t="str">
        <f>Shortlist!E3</f>
        <v>Gerente de Operações</v>
      </c>
      <c r="X2" s="42" t="str">
        <f>Shortlist!F3</f>
        <v>N/A</v>
      </c>
      <c r="Y2" s="42" t="str">
        <f>Shortlist!G3</f>
        <v>N/A</v>
      </c>
      <c r="Z2" s="42" t="str">
        <f>Shortlist!H3</f>
        <v>META – Gerente de Operações (DEZ/2024 – ATUAL); SPACE7 DIGITAL – CEO e Founder (FEV/2023 – DEZ/2024); LINX – Gerente de Operações (JUN/2018 – FEV/2023); DCG – Gerente de Operações (DEZ/2015 – JUN/2018); EZ COMMERCE – Coordenador de Equipe (JAN/2015 – DEZ/2015); Stefanini (Estágio a Líder de Equipe): Cinco anos, saiu liderando 25 pessoas em suporte puro de TI Nível 2.</v>
      </c>
      <c r="AA2" s="42" t="str">
        <f>Shortlist!I3</f>
        <v>1. Estruturação de Indicadores e KPIs do Zero: Na startup de e-commerce (EZ/DCG), implementou o Zendesk e criou métricas de performance e bases analíticas do zero, estruturando o suporte para o crescimento subsequente. 2. Recuperação do NPS: Coordenou um plano de ação colaborativo entre Operações e Produto após feedback negativo (devido à descontinuação de um produto), revertendo o NPS de um patamar negativo para 50-60 em cerca de um ano e meio. 3. Gestão de Crise e Liderança na Pandemia: Durante o crescimento de demanda do e-commerce, a equipe cresceu de 50 para 80 pessoas. Blindou o time, assumindo responsabilidades em reuniões de War Room. Foi premiado como "Líder do Ano" da Linx em 2021.</v>
      </c>
      <c r="AB2" s="42" t="str">
        <f>Shortlist!J3</f>
        <v>CLT: Salário fixo mensal de R$ 14.000, além de ajuda de custo e dois salários anuais. Benefícios incluem Plano de Saúde/Odontológico, Vale Refeição/Alimentação e Auxílio Educação/Creche.</v>
      </c>
      <c r="AC2" s="42" t="str">
        <f>Shortlist!K3</f>
        <v>Liderança e Influência social: Evidenciada pelo reconhecimento como "Líder do Ano" na Linx, conquistado por proteger sua equipe sob pressão (War Room). Competências analíticas/Pensamento sistêmico: Demonstrado na capacidade de estruturar indicadores, KPIs e NPS do zero na startup. Proatividade e Iniciativa: Evidenciada na implementação de ITIL e Zendesk em ambientes com ausência de processos.</v>
      </c>
      <c r="AD2" s="42" t="str">
        <f>Shortlist!L3</f>
        <v>Busca uma oportunidade mais alinhada com sua visão cultural, diferente do perfil tradicional da Meta. Almeja desafios estratégicos em um cenário de crescimento exponencial e deseja participar ativamente das decisões, papel que exerceu anteriormente.</v>
      </c>
      <c r="AE2" s="42" t="str">
        <f t="shared" ref="AE2:AO2" si="1">#REF!</f>
        <v>#REF!</v>
      </c>
      <c r="AF2" s="42" t="str">
        <f t="shared" si="1"/>
        <v>#REF!</v>
      </c>
      <c r="AG2" s="42" t="str">
        <f t="shared" si="1"/>
        <v>#REF!</v>
      </c>
      <c r="AH2" s="42" t="str">
        <f t="shared" si="1"/>
        <v>#REF!</v>
      </c>
      <c r="AI2" s="42" t="str">
        <f t="shared" si="1"/>
        <v>#REF!</v>
      </c>
      <c r="AJ2" s="42" t="str">
        <f t="shared" si="1"/>
        <v>#REF!</v>
      </c>
      <c r="AK2" s="42" t="str">
        <f t="shared" si="1"/>
        <v>#REF!</v>
      </c>
      <c r="AL2" s="42" t="str">
        <f t="shared" si="1"/>
        <v>#REF!</v>
      </c>
      <c r="AM2" s="42" t="str">
        <f t="shared" si="1"/>
        <v>#REF!</v>
      </c>
      <c r="AN2" s="42" t="str">
        <f t="shared" si="1"/>
        <v>#REF!</v>
      </c>
      <c r="AO2" s="42" t="str">
        <f t="shared" si="1"/>
        <v>#REF!</v>
      </c>
      <c r="AP2" s="42" t="str">
        <f>Shortlist!B4</f>
        <v>Candidato 2</v>
      </c>
      <c r="AQ2" s="42" t="str">
        <f>Shortlist!C4</f>
        <v>Saul Souza</v>
      </c>
      <c r="AR2" s="42">
        <f>Shortlist!D4</f>
        <v>31</v>
      </c>
      <c r="AS2" s="42" t="str">
        <f>Shortlist!E4</f>
        <v>Gerente de Tecnologia e Desenvolvimento (DI MARMORE) e Gerente de Suporte Técnico (ISYSTEMS)</v>
      </c>
      <c r="AT2" s="42" t="str">
        <f>Shortlist!F4</f>
        <v>Taboão da Serra / SP</v>
      </c>
      <c r="AU2" s="42" t="str">
        <f>Shortlist!G4</f>
        <v>PONTIFÍCIA UNIVERSIDADE CATÓLICA DO RS (PUCRS) – MBA em Gestão de Projetos (2025 – ATUAL); UNIVERSIDADE ANHEMBI MORUMBI (UAM) – Graduação em Gestão de TI (2019 – 2021)</v>
      </c>
      <c r="AV2" s="42" t="str">
        <f>Shortlist!H4</f>
        <v>DI MARMORE – Gerente de Tecnologia e Desenvolvimento (JUL/2025 – ATUAL); ISYSTEMS – Gerente de Suporte Técnico (DEZ/2023 – ATUAL); OMIE – Gerente de Suporte Técnico (DEZ/2017 – SET/2023)</v>
      </c>
      <c r="AW2" s="42" t="str">
        <f>Shortlist!I4</f>
        <v>1. Restruturação da Área de Suporte na OMIE: Estruturou cargos (Estagiário, N1, N2, N3) e departamentos (Qualidade, Treinamento), escalando a operação de 20.000 para 70.000 chamados/mês e alcançando 98% de CSAT pelo terceiro ano consecutivo. 2. Criação do Departamento de Treinamento na OMIE: Implementou uma "universidade" de suporte para reduzir a rampagem do analista de 2 anos para 6 meses. 3. Transformação do Suporte e Aumento da Taxa de Uso na ISYSTEMS: Reformulou o suporte técnico, focando na taxa de uso do software de controle avançado. Resultado: Atingiu 79% de taxa de uso, o maior índice na história da empresa.</v>
      </c>
      <c r="AX2" s="42" t="str">
        <f>Shortlist!J4</f>
        <v>Regime PJ. Salário Fixo Mensal R$ 20.000,00. Bônus Anual Target último ano – R$ 1.000,00. Benefícios: Plano de Saúde / Odontológico Bradesco Nacional; Vale Refeição / Alimentação R$ 950,00; Veículo Corporativo (Aluguel custeado); Auxílio Educação (Pós-graduação R$ 400,00 + Idiomas R$ 175,00).</v>
      </c>
      <c r="AY2" s="42" t="str">
        <f>Shortlist!K4</f>
        <v>Liderança e Influência social: Evidenciado pela gestão de uma equipe de 200 pessoas na OMIE e pela criação de um projeto de team leaders. Visão estratégica: Demonstração ao reformular a estrutura de cargos na OMIE para escalar a área e ao focar na taxa de uso na ISYSTEMS (atingindo 79%). Gestão de Recursos: Criação dos departamentos de Qualidade e Treinamento na OMIE, otimizando processos. Assertividade: Pontuação de 5 em 5.</v>
      </c>
      <c r="AZ2" s="42" t="str">
        <f>Shortlist!L4</f>
        <v>Retornar à área de suporte em uma empresa em ascensão e forte crescimento (similar ao modelo da OMIE), que ofereça desafios transformacionais. Buscar um ambiente que proporcione oportunidades de aprendizado e proximidade com a liderança sênior. Disposto a realizar uma mudança familiar para o Rio Grande do Sul, caso a oportunidade seja atrativa.</v>
      </c>
      <c r="BA2" s="42" t="str">
        <f>Shortlist!B5</f>
        <v/>
      </c>
      <c r="BB2" s="42" t="str">
        <f>Shortlist!C5</f>
        <v/>
      </c>
      <c r="BC2" s="42" t="str">
        <f>Shortlist!D5</f>
        <v/>
      </c>
      <c r="BD2" s="42" t="str">
        <f>Shortlist!E5</f>
        <v/>
      </c>
      <c r="BE2" s="42" t="str">
        <f>Shortlist!F5</f>
        <v/>
      </c>
      <c r="BF2" s="42" t="str">
        <f>Shortlist!G5</f>
        <v/>
      </c>
      <c r="BG2" s="42" t="str">
        <f>Shortlist!H5</f>
        <v/>
      </c>
      <c r="BH2" s="42" t="str">
        <f>Shortlist!I5</f>
        <v/>
      </c>
      <c r="BI2" s="42" t="str">
        <f>Shortlist!J5</f>
        <v/>
      </c>
      <c r="BJ2" s="42" t="str">
        <f>Shortlist!K5</f>
        <v/>
      </c>
      <c r="BK2" s="42" t="str">
        <f>Shortlist!L5</f>
        <v/>
      </c>
      <c r="BL2" s="42" t="str">
        <f>Shortlist!B6</f>
        <v/>
      </c>
      <c r="BM2" s="42" t="str">
        <f>Shortlist!C6</f>
        <v/>
      </c>
      <c r="BN2" s="42" t="str">
        <f>Shortlist!D6</f>
        <v/>
      </c>
      <c r="BO2" s="42" t="str">
        <f>Shortlist!E6</f>
        <v/>
      </c>
      <c r="BP2" s="42" t="str">
        <f>Shortlist!F6</f>
        <v/>
      </c>
      <c r="BQ2" s="42" t="str">
        <f>Shortlist!G6</f>
        <v/>
      </c>
      <c r="BR2" s="42" t="str">
        <f>Shortlist!H6</f>
        <v/>
      </c>
      <c r="BS2" s="42" t="str">
        <f>Shortlist!I6</f>
        <v/>
      </c>
      <c r="BT2" s="42" t="str">
        <f>Shortlist!J6</f>
        <v/>
      </c>
      <c r="BU2" s="42" t="str">
        <f>Shortlist!K6</f>
        <v/>
      </c>
      <c r="BV2" s="42" t="str">
        <f>Shortlist!L6</f>
        <v/>
      </c>
      <c r="BW2" s="42" t="str">
        <f>Shortlist!B7</f>
        <v/>
      </c>
      <c r="BX2" s="42" t="str">
        <f>Shortlist!C7</f>
        <v/>
      </c>
      <c r="BY2" s="42" t="str">
        <f>Shortlist!D7</f>
        <v/>
      </c>
      <c r="BZ2" s="42" t="str">
        <f>Shortlist!E7</f>
        <v/>
      </c>
      <c r="CA2" s="42" t="str">
        <f>Shortlist!F7</f>
        <v/>
      </c>
      <c r="CB2" s="42" t="str">
        <f>Shortlist!G7</f>
        <v/>
      </c>
      <c r="CC2" s="42" t="str">
        <f>Shortlist!H7</f>
        <v/>
      </c>
      <c r="CD2" s="42" t="str">
        <f>Shortlist!I7</f>
        <v/>
      </c>
      <c r="CE2" s="42" t="str">
        <f>Shortlist!J7</f>
        <v/>
      </c>
      <c r="CF2" s="42" t="str">
        <f>Shortlist!K7</f>
        <v/>
      </c>
      <c r="CG2" s="42" t="str">
        <f>Shortlist!L7</f>
        <v/>
      </c>
      <c r="CH2" s="42" t="str">
        <f>Shortlist!B8</f>
        <v/>
      </c>
      <c r="CI2" s="42" t="str">
        <f>Shortlist!C8</f>
        <v/>
      </c>
      <c r="CJ2" s="42" t="str">
        <f>Shortlist!D8</f>
        <v/>
      </c>
      <c r="CK2" s="42" t="str">
        <f>Shortlist!E8</f>
        <v/>
      </c>
      <c r="CL2" s="42" t="str">
        <f>Shortlist!F8</f>
        <v/>
      </c>
      <c r="CM2" s="42" t="str">
        <f>Shortlist!G8</f>
        <v/>
      </c>
      <c r="CN2" s="42" t="str">
        <f>Shortlist!H8</f>
        <v/>
      </c>
      <c r="CO2" s="42" t="str">
        <f>Shortlist!I8</f>
        <v/>
      </c>
      <c r="CP2" s="42" t="str">
        <f>Shortlist!J8</f>
        <v/>
      </c>
      <c r="CQ2" s="42" t="str">
        <f>Shortlist!K8</f>
        <v/>
      </c>
      <c r="CR2" s="42" t="str">
        <f>Shortlist!L8</f>
        <v/>
      </c>
      <c r="CS2" s="42" t="str">
        <f>Shortlist!B9</f>
        <v/>
      </c>
      <c r="CT2" s="42" t="str">
        <f>Shortlist!C9</f>
        <v/>
      </c>
      <c r="CU2" s="42" t="str">
        <f>Shortlist!D9</f>
        <v/>
      </c>
      <c r="CV2" s="42" t="str">
        <f>Shortlist!E9</f>
        <v/>
      </c>
      <c r="CW2" s="42" t="str">
        <f>Shortlist!F9</f>
        <v/>
      </c>
      <c r="CX2" s="42" t="str">
        <f>Shortlist!G9</f>
        <v/>
      </c>
      <c r="CY2" s="42" t="str">
        <f>Shortlist!H9</f>
        <v/>
      </c>
      <c r="CZ2" s="42" t="str">
        <f>Shortlist!I9</f>
        <v/>
      </c>
      <c r="DA2" s="42" t="str">
        <f>Shortlist!J9</f>
        <v/>
      </c>
      <c r="DB2" s="42" t="str">
        <f>Shortlist!K9</f>
        <v/>
      </c>
      <c r="DC2" s="42" t="str">
        <f>Shortlist!L9</f>
        <v/>
      </c>
      <c r="DD2" s="42" t="str">
        <f>Shortlist!B10</f>
        <v/>
      </c>
      <c r="DE2" s="42" t="str">
        <f>Shortlist!C10</f>
        <v/>
      </c>
      <c r="DF2" s="42" t="str">
        <f>Shortlist!D10</f>
        <v/>
      </c>
      <c r="DG2" s="42" t="str">
        <f>Shortlist!E10</f>
        <v/>
      </c>
      <c r="DH2" s="42" t="str">
        <f>Shortlist!F10</f>
        <v/>
      </c>
      <c r="DI2" s="42" t="str">
        <f>Shortlist!G10</f>
        <v/>
      </c>
      <c r="DJ2" s="42" t="str">
        <f>Shortlist!H10</f>
        <v/>
      </c>
      <c r="DK2" s="42" t="str">
        <f>Shortlist!I10</f>
        <v/>
      </c>
      <c r="DL2" s="42" t="str">
        <f>Shortlist!J10</f>
        <v/>
      </c>
      <c r="DM2" s="42" t="str">
        <f>Shortlist!K10</f>
        <v/>
      </c>
      <c r="DN2" s="42" t="str">
        <f>Shortlist!L10</f>
        <v/>
      </c>
      <c r="DO2" s="42" t="str">
        <f>Shortlist!B11</f>
        <v/>
      </c>
      <c r="DP2" s="42" t="str">
        <f>Shortlist!C11</f>
        <v/>
      </c>
      <c r="DQ2" s="42" t="str">
        <f>Shortlist!D11</f>
        <v/>
      </c>
      <c r="DR2" s="42" t="str">
        <f>Shortlist!E11</f>
        <v/>
      </c>
      <c r="DS2" s="42" t="str">
        <f>Shortlist!F11</f>
        <v/>
      </c>
      <c r="DT2" s="42" t="str">
        <f>Shortlist!G11</f>
        <v/>
      </c>
      <c r="DU2" s="42" t="str">
        <f>Shortlist!H11</f>
        <v/>
      </c>
      <c r="DV2" s="42" t="str">
        <f>Shortlist!I11</f>
        <v/>
      </c>
      <c r="DW2" s="42" t="str">
        <f>Shortlist!J11</f>
        <v/>
      </c>
      <c r="DX2" s="42" t="str">
        <f>Shortlist!K11</f>
        <v/>
      </c>
      <c r="DY2" s="42" t="str">
        <f>Shortlist!L11</f>
        <v/>
      </c>
      <c r="DZ2" s="105" t="str">
        <f>'Referências'!C2</f>
        <v>CANDIDATO 1</v>
      </c>
      <c r="EA2" s="105" t="str">
        <f>'Referências'!C3</f>
        <v>(CARGO | EMPRESA)</v>
      </c>
      <c r="EB2" s="105" t="str">
        <f>'Referências'!C4</f>
        <v>(texto) 
</v>
      </c>
      <c r="EC2" s="105" t="str">
        <f>'Referências'!C5</f>
        <v>(CARGO | EMPRESA)</v>
      </c>
      <c r="ED2" s="105" t="str">
        <f>'Referências'!C6</f>
        <v>(texto) 
</v>
      </c>
      <c r="EE2" s="105" t="str">
        <f>'Referências'!C7</f>
        <v>(CARGO | EMPRESA)</v>
      </c>
      <c r="EF2" s="105" t="str">
        <f>'Referências'!C8</f>
        <v>(texto) </v>
      </c>
      <c r="EG2" s="105" t="str">
        <f>'Referências'!E2</f>
        <v>CANDIDATO 2</v>
      </c>
      <c r="EH2" s="105" t="str">
        <f>'Referências'!E3</f>
        <v>(CARGO | EMPRESA)</v>
      </c>
      <c r="EI2" s="105" t="str">
        <f>'Referências'!E4</f>
        <v>(texto) </v>
      </c>
      <c r="EJ2" s="105" t="str">
        <f>'Referências'!E5</f>
        <v>(CARGO | EMPRESA)</v>
      </c>
      <c r="EK2" s="105" t="str">
        <f>'Referências'!E6</f>
        <v>(texto) 
</v>
      </c>
      <c r="EL2" s="105" t="str">
        <f>'Referências'!E7</f>
        <v>(CARGO | EMPRESA)</v>
      </c>
      <c r="EM2" s="105" t="str">
        <f>'Referências'!E8</f>
        <v>(texto) </v>
      </c>
      <c r="EN2" s="105" t="str">
        <f>'Referências'!G2</f>
        <v>CANDIDATO 3</v>
      </c>
      <c r="EO2" s="105" t="str">
        <f>'Referências'!G3</f>
        <v>(CARGO | EMPRESA)</v>
      </c>
      <c r="EP2" s="105" t="str">
        <f>'Referências'!G4</f>
        <v>(Texto)</v>
      </c>
      <c r="EQ2" s="105" t="str">
        <f>'Referências'!G5</f>
        <v>(CARGO | EMPRESA)</v>
      </c>
      <c r="ER2" s="105" t="str">
        <f>'Referências'!G6</f>
        <v>(Texto)</v>
      </c>
      <c r="ES2" s="105" t="str">
        <f>'Referências'!G7</f>
        <v>(CARGO | EMPRESA)</v>
      </c>
      <c r="ET2" s="105" t="str">
        <f>'Referências'!G8</f>
        <v>(Texto)</v>
      </c>
      <c r="EU2" s="105" t="str">
        <f>'Referências'!I2</f>
        <v>CANDIDATO 4</v>
      </c>
      <c r="EV2" s="105" t="str">
        <f>'Referências'!I3</f>
        <v>(CARGO | EMPRESA)</v>
      </c>
      <c r="EW2" s="105" t="str">
        <f>'Referências'!I4</f>
        <v>(Texto)</v>
      </c>
      <c r="EX2" s="105" t="str">
        <f>'Referências'!I5</f>
        <v>(CARGO | EMPRESA)</v>
      </c>
      <c r="EY2" s="105" t="str">
        <f>'Referências'!I6</f>
        <v>(Texto)</v>
      </c>
      <c r="EZ2" s="105" t="str">
        <f>'Referências'!I7</f>
        <v>(CARGO | EMPRESA)</v>
      </c>
      <c r="FA2" s="105" t="str">
        <f>'Referências'!I8</f>
        <v>(Texto)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